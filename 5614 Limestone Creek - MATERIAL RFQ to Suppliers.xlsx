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tricoreplumbing-my.sharepoint.com/personal/mitch_tricoreplumbing_com_au/Documents/Documents/GitHub/Limestone Yeppoon/"/>
    </mc:Choice>
  </mc:AlternateContent>
  <xr:revisionPtr revIDLastSave="0" documentId="8_{B86715ED-D3B6-4A36-9D4E-F1562235E670}" xr6:coauthVersionLast="47" xr6:coauthVersionMax="47" xr10:uidLastSave="{00000000-0000-0000-0000-000000000000}"/>
  <bookViews>
    <workbookView xWindow="-108" yWindow="-108" windowWidth="30936" windowHeight="12576" tabRatio="500" xr2:uid="{00000000-000D-0000-FFFF-FFFF00000000}"/>
  </bookViews>
  <sheets>
    <sheet name="RFQ Cover" sheetId="1" r:id="rId1"/>
    <sheet name="URGENT - Price Critical" sheetId="2" r:id="rId2"/>
    <sheet name="A - Precast Drainage" sheetId="3" r:id="rId3"/>
    <sheet name="B - Sewer Precast" sheetId="4" r:id="rId4"/>
    <sheet name="C - Plastic Pipe" sheetId="5" r:id="rId5"/>
    <sheet name="D - Water Retic" sheetId="6" r:id="rId6"/>
    <sheet name="E - Quarry" sheetId="7" r:id="rId7"/>
    <sheet name="F - Concrete &amp; Reo"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11" i="8" l="1"/>
  <c r="H11" i="8"/>
  <c r="J9" i="8"/>
  <c r="H9" i="8"/>
  <c r="J8" i="8"/>
  <c r="H8" i="8"/>
  <c r="J7" i="8"/>
  <c r="J12" i="8" s="1"/>
  <c r="H7" i="8"/>
  <c r="J8" i="7"/>
  <c r="H8" i="7"/>
  <c r="J7" i="7"/>
  <c r="J9" i="7" s="1"/>
  <c r="H7" i="7"/>
  <c r="J42" i="6"/>
  <c r="H42" i="6"/>
  <c r="J41" i="6"/>
  <c r="H41" i="6"/>
  <c r="J40" i="6"/>
  <c r="H40" i="6"/>
  <c r="J39" i="6"/>
  <c r="H39" i="6"/>
  <c r="J37" i="6"/>
  <c r="H37" i="6"/>
  <c r="J36" i="6"/>
  <c r="H36" i="6"/>
  <c r="J35" i="6"/>
  <c r="H35" i="6"/>
  <c r="J34" i="6"/>
  <c r="H34" i="6"/>
  <c r="J33" i="6"/>
  <c r="H33" i="6"/>
  <c r="J32" i="6"/>
  <c r="H32" i="6"/>
  <c r="J31" i="6"/>
  <c r="H31" i="6"/>
  <c r="J30" i="6"/>
  <c r="H30" i="6"/>
  <c r="J29" i="6"/>
  <c r="H29" i="6"/>
  <c r="J28" i="6"/>
  <c r="H28" i="6"/>
  <c r="J27" i="6"/>
  <c r="H27" i="6"/>
  <c r="J26" i="6"/>
  <c r="H26" i="6"/>
  <c r="J25" i="6"/>
  <c r="H25" i="6"/>
  <c r="J23" i="6"/>
  <c r="H23" i="6"/>
  <c r="J22" i="6"/>
  <c r="H22" i="6"/>
  <c r="J21" i="6"/>
  <c r="H21" i="6"/>
  <c r="J20" i="6"/>
  <c r="H20" i="6"/>
  <c r="J19" i="6"/>
  <c r="H19" i="6"/>
  <c r="J17" i="6"/>
  <c r="H17" i="6"/>
  <c r="J16" i="6"/>
  <c r="H16" i="6"/>
  <c r="J15" i="6"/>
  <c r="H15" i="6"/>
  <c r="J14" i="6"/>
  <c r="H14" i="6"/>
  <c r="J13" i="6"/>
  <c r="H13" i="6"/>
  <c r="J12" i="6"/>
  <c r="H12" i="6"/>
  <c r="J10" i="6"/>
  <c r="J43" i="6" s="1"/>
  <c r="H10" i="6"/>
  <c r="J9" i="6"/>
  <c r="H9" i="6"/>
  <c r="J8" i="6"/>
  <c r="H8" i="6"/>
  <c r="J7" i="6"/>
  <c r="H7" i="6"/>
  <c r="J27" i="5"/>
  <c r="J26" i="5"/>
  <c r="H26" i="5"/>
  <c r="J25" i="5"/>
  <c r="H25" i="5"/>
  <c r="J24" i="5"/>
  <c r="H24" i="5"/>
  <c r="J22" i="5"/>
  <c r="H22" i="5"/>
  <c r="J21" i="5"/>
  <c r="H21" i="5"/>
  <c r="J20" i="5"/>
  <c r="H20" i="5"/>
  <c r="J19" i="5"/>
  <c r="H19" i="5"/>
  <c r="J18" i="5"/>
  <c r="H18" i="5"/>
  <c r="J17" i="5"/>
  <c r="H17" i="5"/>
  <c r="J15" i="5"/>
  <c r="H15" i="5"/>
  <c r="J14" i="5"/>
  <c r="H14" i="5"/>
  <c r="J13" i="5"/>
  <c r="H13" i="5"/>
  <c r="J12" i="5"/>
  <c r="H12" i="5"/>
  <c r="J10" i="5"/>
  <c r="H10" i="5"/>
  <c r="J9" i="5"/>
  <c r="H9" i="5"/>
  <c r="J8" i="5"/>
  <c r="H8" i="5"/>
  <c r="J7" i="5"/>
  <c r="H7" i="5"/>
  <c r="J14" i="4"/>
  <c r="H14" i="4"/>
  <c r="J12" i="4"/>
  <c r="H12" i="4"/>
  <c r="J11" i="4"/>
  <c r="H11" i="4"/>
  <c r="J10" i="4"/>
  <c r="H10" i="4"/>
  <c r="J9" i="4"/>
  <c r="H9" i="4"/>
  <c r="J8" i="4"/>
  <c r="H8" i="4"/>
  <c r="J7" i="4"/>
  <c r="J15" i="4" s="1"/>
  <c r="H7" i="4"/>
  <c r="J31" i="3"/>
  <c r="H31" i="3"/>
  <c r="J30" i="3"/>
  <c r="H30" i="3"/>
  <c r="J29" i="3"/>
  <c r="H29" i="3"/>
  <c r="J28" i="3"/>
  <c r="H28" i="3"/>
  <c r="J26" i="3"/>
  <c r="H26" i="3"/>
  <c r="J25" i="3"/>
  <c r="H25" i="3"/>
  <c r="J24" i="3"/>
  <c r="H24" i="3"/>
  <c r="J23" i="3"/>
  <c r="H23" i="3"/>
  <c r="J22" i="3"/>
  <c r="H22" i="3"/>
  <c r="J20" i="3"/>
  <c r="H20" i="3"/>
  <c r="J19" i="3"/>
  <c r="H19" i="3"/>
  <c r="J18" i="3"/>
  <c r="H18" i="3"/>
  <c r="J17" i="3"/>
  <c r="H17" i="3"/>
  <c r="J15" i="3"/>
  <c r="H15" i="3"/>
  <c r="J14" i="3"/>
  <c r="H14" i="3"/>
  <c r="J13" i="3"/>
  <c r="H13" i="3"/>
  <c r="J12" i="3"/>
  <c r="H12" i="3"/>
  <c r="J10" i="3"/>
  <c r="H10" i="3"/>
  <c r="J9" i="3"/>
  <c r="H9" i="3"/>
  <c r="J8" i="3"/>
  <c r="H8" i="3"/>
  <c r="J7" i="3"/>
  <c r="J32" i="3" s="1"/>
  <c r="H7" i="3"/>
  <c r="F20" i="2"/>
  <c r="F19" i="2"/>
  <c r="F18" i="2"/>
  <c r="F17" i="2"/>
  <c r="F16" i="2"/>
  <c r="F15" i="2"/>
  <c r="F14" i="2"/>
  <c r="F13" i="2"/>
  <c r="F12" i="2"/>
  <c r="F11" i="2"/>
  <c r="F10" i="2"/>
  <c r="F21" i="2" s="1"/>
  <c r="F9" i="2"/>
  <c r="F8" i="2"/>
  <c r="F7" i="2"/>
</calcChain>
</file>

<file path=xl/sharedStrings.xml><?xml version="1.0" encoding="utf-8"?>
<sst xmlns="http://schemas.openxmlformats.org/spreadsheetml/2006/main" count="669" uniqueCount="361">
  <si>
    <t>REQUEST FOR QUOTATION — MATERIAL SUPPLY</t>
  </si>
  <si>
    <t>LIMESTONE CREEK ESTATE DEVELOPMENT, YEPPOON QLD</t>
  </si>
  <si>
    <t>Civil Sewer, Water &amp; Stormwater Reticulation  |  Engineer Job No. 5614</t>
  </si>
  <si>
    <t>Issued by</t>
  </si>
  <si>
    <t>Tricore Civil Services Pty Ltd</t>
  </si>
  <si>
    <t>Contact</t>
  </si>
  <si>
    <t>[NAME]  |  [PHONE]  |  [EMAIL]</t>
  </si>
  <si>
    <t>Project</t>
  </si>
  <si>
    <t>Limestone Creek Estate (Limestone Rise), Inverness / Yeppoon QLD 4703</t>
  </si>
  <si>
    <t>Head Contractor</t>
  </si>
  <si>
    <t>McIntosh Civil</t>
  </si>
  <si>
    <t>Design Engineer</t>
  </si>
  <si>
    <t>Land Dynamics Australia — drawings 5614, Tender Issue 02/07/2026</t>
  </si>
  <si>
    <t>Approval Authority</t>
  </si>
  <si>
    <t>Livingstone Shire Council — CMDG (Capricorn Municipal Development Guidelines)</t>
  </si>
  <si>
    <t>Delivery location</t>
  </si>
  <si>
    <t>Limestone Creek Estate, Yeppoon QLD (approx. 40 km NE of Rockhampton)</t>
  </si>
  <si>
    <t>Quotation required by</t>
  </si>
  <si>
    <t>[DATE]</t>
  </si>
  <si>
    <t>Quote validity required</t>
  </si>
  <si>
    <t>Minimum 90 days from submission</t>
  </si>
  <si>
    <t>Prices</t>
  </si>
  <si>
    <t>EX-GST. State delivery/freight SEPARATELY per line or per load.</t>
  </si>
  <si>
    <t>INSTRUCTIONS TO SUPPLIERS</t>
  </si>
  <si>
    <t>1.</t>
  </si>
  <si>
    <t>Complete the YELLOW rate cells on each package tab. Amount columns calculate automatically.</t>
  </si>
  <si>
    <t>2.</t>
  </si>
  <si>
    <t>Quantities are taken from the Principal Contractor's issued Bill of Quantities and have NOT been independently verified by Tricore. Suppliers must satisfy themselves as to quantities and are asked to advise any discrepancy.</t>
  </si>
  <si>
    <t>3.</t>
  </si>
  <si>
    <t>Quantities are shown split across three delivery stages (Trunk Road Section C; Stages 1 &amp; 2; Stages 3-6) because delivery will be staged over the construction programme. Please price on the TOTAL quantity and note any minimum-load or staged-delivery implications.</t>
  </si>
  <si>
    <t>4.</t>
  </si>
  <si>
    <t>FREIGHT must be quoted separately and clearly — either per line, per load, or as a lump per stage. Do not embed freight in unit rates. Advise minimum load quantities and any regional/remote surcharge to Yeppoon.</t>
  </si>
  <si>
    <t>5.</t>
  </si>
  <si>
    <t>LEAD TIMES are required for every line — particularly made-to-order items (box culverts, large RCP, custom pits). State whether the item is ex-stock or made-to-order.</t>
  </si>
  <si>
    <t>6.</t>
  </si>
  <si>
    <t>ALTERNATIVES: where you can offer an equivalent product that meets the specification and standard, please price it in the 'Alternative offered' column. Value-engineering suggestions are welcomed.</t>
  </si>
  <si>
    <t>7.</t>
  </si>
  <si>
    <t>All products must comply with the nominated Australian Standards and be acceptable to Livingstone Shire Council under CMDG. Where relevant, MRTS / QTMR compliance is required.</t>
  </si>
  <si>
    <t>8.</t>
  </si>
  <si>
    <t>Advise any items you cannot supply so we can source elsewhere.</t>
  </si>
  <si>
    <t>PACKAGES IN THIS RFQ</t>
  </si>
  <si>
    <t>Package A</t>
  </si>
  <si>
    <t>Precast concrete drainage — box culverts, RCP, headwalls, pits  (e.g. Humes, Rocla, Civilmart, Modcast)</t>
  </si>
  <si>
    <t>Package B</t>
  </si>
  <si>
    <t>Sewer precast &amp; manhole components  (e.g. Humes, Reece, Tradelink, Jaybro)</t>
  </si>
  <si>
    <t>Package C</t>
  </si>
  <si>
    <t>Plastic pipe — stormwater, sewer, interlot &amp; subsoil  (e.g. Iplex, Vinidex, Reece, Tradelink)</t>
  </si>
  <si>
    <t>Package D</t>
  </si>
  <si>
    <t>Water reticulation — pipe, fittings, hydrants &amp; valves  (e.g. Reece, Tradelink, Vinidex)</t>
  </si>
  <si>
    <t>Package E</t>
  </si>
  <si>
    <t>Quarry products — bedding sand  (local CQ quarry)</t>
  </si>
  <si>
    <t>Package F</t>
  </si>
  <si>
    <t>Concrete, reinforcement &amp; formwork — culvert base slab and cast in-situ headwalls  (concrete subcontractor)</t>
  </si>
  <si>
    <t>Suppliers need only complete the package(s) relevant to them.</t>
  </si>
  <si>
    <t>PRICE-CRITICAL ITEMS — URGENT QUOTATIONS REQUIRED</t>
  </si>
  <si>
    <t>Limestone Creek Estate (5614)  |  Items ranked by material value currently resting on an UNCONFIRMED estimated rate</t>
  </si>
  <si>
    <t>Total material value on estimated rates: $2,746,616 of $3,740,523 (73%). Tender pricing should not be submitted as firm until the top items below are quoted.</t>
  </si>
  <si>
    <t>#</t>
  </si>
  <si>
    <t>Item</t>
  </si>
  <si>
    <t>Unit</t>
  </si>
  <si>
    <t>Total Qty</t>
  </si>
  <si>
    <t>Est. rate used</t>
  </si>
  <si>
    <t>Material value</t>
  </si>
  <si>
    <t>Why it is critical / who to approach</t>
  </si>
  <si>
    <t>3.6m x 0.9m RCBC</t>
  </si>
  <si>
    <t>m</t>
  </si>
  <si>
    <t>Largest single material item on the project. No quote held; 3.6m span is made-to-order with long lead time and mould availability risk. Approach Humes, Rocla, Civilmart, Modcast.</t>
  </si>
  <si>
    <t>Gully pit 2.4m Lintel Type 'S' (CMDG Type A)</t>
  </si>
  <si>
    <t>ea</t>
  </si>
  <si>
    <t>99 pits in total across the job. A $500 error per pit moves the tender ~$50k. Approach Humes / Civilmart.</t>
  </si>
  <si>
    <t>3.6m x 1.2m RCBC</t>
  </si>
  <si>
    <t>Same made-to-order risk as A1.1; quote together with the 0.9m units.</t>
  </si>
  <si>
    <t>64m cast in-situ headwall to culverts (2 no.)</t>
  </si>
  <si>
    <t>Major structural concrete. Pure estimate, no subcontractor quote. Consider precast wingwall alternative as value engineering.</t>
  </si>
  <si>
    <t>250mm PVC PN16 water main</t>
  </si>
  <si>
    <t>Longest single water run. Rate extrapolated from HDPE, not quoted for PVC PN16. Approach Iplex, Vinidex, Reece, Tradelink.</t>
  </si>
  <si>
    <t>750mm RCP Class 3</t>
  </si>
  <si>
    <t>Extrapolated rate. Approach Humes / Rocla.</t>
  </si>
  <si>
    <t>Hydrant assembly to suit 250mm</t>
  </si>
  <si>
    <t>37 complete assemblies; nothing quoted for hydrants at all. Approach Reece / Tradelink.</t>
  </si>
  <si>
    <t>Custom grated junction pits (small)</t>
  </si>
  <si>
    <t>Includes structural design; scope and cost both uncertain. Approach precaster + confirm design responsibility.</t>
  </si>
  <si>
    <t>Culvert base slab</t>
  </si>
  <si>
    <t>m2</t>
  </si>
  <si>
    <t>Estimated at ~200mm + reo. Confirm thickness/reo from structural details before pricing.</t>
  </si>
  <si>
    <t>900mm RCP Class 3</t>
  </si>
  <si>
    <t>Extrapolated rate. Quote with balance of RCP.</t>
  </si>
  <si>
    <t>100mm draincoil + sock</t>
  </si>
  <si>
    <t>Large linear quantity; also note quantities missing for Trunk Rd and Stages 1&amp;2 (see tender query schedule).</t>
  </si>
  <si>
    <t>Lamphole assembly</t>
  </si>
  <si>
    <t>Not quoted. Confirm CMDG-compliant assembly build-up.</t>
  </si>
  <si>
    <t>675mm RCP Class 3</t>
  </si>
  <si>
    <t>Extrapolated rate.</t>
  </si>
  <si>
    <t>525mm HDPE SN8</t>
  </si>
  <si>
    <t>Interpolated between 450 and 600; not quoted.</t>
  </si>
  <si>
    <t>TOTAL VALUE OF LISTED CRITICAL ITEMS</t>
  </si>
  <si>
    <t>PACKAGE A — PRECAST CONCRETE DRAINAGE PRODUCTS</t>
  </si>
  <si>
    <t>Limestone Creek Estate, Yeppoon (5614)  |  Complete the YELLOW rate cells  |  All prices EX-GST  |  Quote freight SEPARATELY</t>
  </si>
  <si>
    <t>PRICE-CRITICAL: the 3.6m box culverts are the single largest material item on this project. Firm pricing and lead time are required as a matter of urgency.</t>
  </si>
  <si>
    <t>Description</t>
  </si>
  <si>
    <t>Specification / Standard</t>
  </si>
  <si>
    <t>Qty
Trunk Rd C</t>
  </si>
  <si>
    <t>Qty
Stages 1&amp;2</t>
  </si>
  <si>
    <t>Qty
Stages 3-6</t>
  </si>
  <si>
    <t>TOTAL
QTY</t>
  </si>
  <si>
    <t>RATE ex-GST
(supplier)</t>
  </si>
  <si>
    <t>AMOUNT ex-GST</t>
  </si>
  <si>
    <t>Freight
basis</t>
  </si>
  <si>
    <t>Lead time
(weeks)</t>
  </si>
  <si>
    <t>Ex-stock or
made-to-order</t>
  </si>
  <si>
    <t>Alternative offered / notes</t>
  </si>
  <si>
    <t>A1.  REINFORCED CONCRETE BOX CULVERT (RCBC)</t>
  </si>
  <si>
    <t>A1.1</t>
  </si>
  <si>
    <t>3.6m x 0.9m RCBC — crown units</t>
  </si>
  <si>
    <t>AS1597.2, SM1600, 50MPa, fill height 0-2m. Made to order.</t>
  </si>
  <si>
    <t>—</t>
  </si>
  <si>
    <t>A1.2</t>
  </si>
  <si>
    <t>3.6m x 1.2m RCBC — crown units</t>
  </si>
  <si>
    <t>A1.3</t>
  </si>
  <si>
    <t>OPTIONAL: precast wingwall / headwall to suit 3.6m RCBC</t>
  </si>
  <si>
    <t>Price as an ALTERNATIVE to cast in-situ (see Package F). State cell config.</t>
  </si>
  <si>
    <t>A1.4</t>
  </si>
  <si>
    <t>OPTIONAL: precast base slab / link slab to suit 3.6m RCBC</t>
  </si>
  <si>
    <t>Price as an ALTERNATIVE to cast in-situ base slab (Package F).</t>
  </si>
  <si>
    <t>A2.  REINFORCED CONCRETE PIPE (RCP) — rubber ring joint, Class 3</t>
  </si>
  <si>
    <t>A2.1</t>
  </si>
  <si>
    <t>675mm dia. RCP RRJ Class 3</t>
  </si>
  <si>
    <t>AS/NZS 4058, MRTS25. Rate to INCLUDE rubber rings.</t>
  </si>
  <si>
    <t>A2.2</t>
  </si>
  <si>
    <t>750mm dia. RCP RRJ Class 3</t>
  </si>
  <si>
    <t>A2.3</t>
  </si>
  <si>
    <t>825mm dia. RCP RRJ Class 3</t>
  </si>
  <si>
    <t>A2.4</t>
  </si>
  <si>
    <t>900mm dia. RCP RRJ Class 3</t>
  </si>
  <si>
    <t>A3.  HEADWALLS</t>
  </si>
  <si>
    <t>A3.1</t>
  </si>
  <si>
    <t>Headwall to suit 225-375mm dia. pipe</t>
  </si>
  <si>
    <t>Australian Standard precast headwall</t>
  </si>
  <si>
    <t>A3.2</t>
  </si>
  <si>
    <t>Headwall to suit 450-600mm dia. pipe</t>
  </si>
  <si>
    <t>A3.3</t>
  </si>
  <si>
    <t>Headwall to suit 750-900mm dia. pipe</t>
  </si>
  <si>
    <t>A3.4</t>
  </si>
  <si>
    <t>Twin-cell headwall (twin 750 / twin 900 RCP)</t>
  </si>
  <si>
    <t>Australian Standard precast headwall, twin cell</t>
  </si>
  <si>
    <t>A4.  GULLY PITS &amp; JUNCTION PITS</t>
  </si>
  <si>
    <t>A4.1</t>
  </si>
  <si>
    <t>Gully pit, 2.4m Lintel Type 'S' — CMDG Type A</t>
  </si>
  <si>
    <t>CMDG standard drawing. Incl. base, riser, lintel and Class D grate/cover.</t>
  </si>
  <si>
    <t>A4.2</t>
  </si>
  <si>
    <t>Gully pit, 2.4m Lintel Type 'S' — CMDG Type A, SAG</t>
  </si>
  <si>
    <t>CMDG standard drawing, SAG configuration.</t>
  </si>
  <si>
    <t>A4.3</t>
  </si>
  <si>
    <t>Custom grated junction pit — small (approx. 1100x900 / 1200x900)</t>
  </si>
  <si>
    <t>To plan detail. Price to include structural design &amp; certification.</t>
  </si>
  <si>
    <t>A4.4</t>
  </si>
  <si>
    <t>Custom grated junction pit — large (approx. 2100x900 to 2100x1300)</t>
  </si>
  <si>
    <t>A4.5</t>
  </si>
  <si>
    <t>900x900 low-flow pit with raised grate</t>
  </si>
  <si>
    <t>Bio-retention basin outlet pit</t>
  </si>
  <si>
    <t>A5.  INTERLOT (IAD) INSPECTION PITS</t>
  </si>
  <si>
    <t>A5.1</t>
  </si>
  <si>
    <t>Std. inspection pit 600 x 600mm</t>
  </si>
  <si>
    <t>Precast, incl. cover</t>
  </si>
  <si>
    <t>A5.2</t>
  </si>
  <si>
    <t>Std. inspection pit 600 x 900mm</t>
  </si>
  <si>
    <t>A5.3</t>
  </si>
  <si>
    <t>Std. inspection pit 900 x 900mm</t>
  </si>
  <si>
    <t>A5.4</t>
  </si>
  <si>
    <t>Kerb adaptor</t>
  </si>
  <si>
    <t>CMDG-R-061</t>
  </si>
  <si>
    <t>PACKAGE SUB-TOTAL (ex-GST, excl. freight)</t>
  </si>
  <si>
    <t>PACKAGE B — SEWER PRECAST &amp; MANHOLE COMPONENTS</t>
  </si>
  <si>
    <t>B1.  MANHOLE COMPONENTS  (84 manholes total: 31 no. &lt;1.5m, 46 no. 1.5-3m, 7 no. &gt;3m)</t>
  </si>
  <si>
    <t>B1.1</t>
  </si>
  <si>
    <t>1050 dia. fibreglass manhole base — 1x150 inlet, 1x150 outlet</t>
  </si>
  <si>
    <t>To suit DN150/DN300 sewer. Confirm angles available.</t>
  </si>
  <si>
    <t>B1.2</t>
  </si>
  <si>
    <t>Concrete chamber / shaft section 1050 x 1200</t>
  </si>
  <si>
    <t>Precast concrete shaft section</t>
  </si>
  <si>
    <t>B1.3</t>
  </si>
  <si>
    <t>Concrete chamber / shaft section 1050 x 300 (adjustment)</t>
  </si>
  <si>
    <t>Precast — for level adjustment; qty provisional</t>
  </si>
  <si>
    <t>B1.4</t>
  </si>
  <si>
    <t>Converter / reducer slab, Class D, 1050 dia. x DN600 opening</t>
  </si>
  <si>
    <t>Precast concrete</t>
  </si>
  <si>
    <t>B1.5</t>
  </si>
  <si>
    <t>600 dia. Class D sewer cover &amp; concrete surround</t>
  </si>
  <si>
    <t>Cast iron cover, bolt-down, Class D</t>
  </si>
  <si>
    <t>B1.6</t>
  </si>
  <si>
    <t>Hydrotite / waterstop jointing (per manhole)</t>
  </si>
  <si>
    <t>Hydrophilic jointing strip; state roll length &amp; coverage</t>
  </si>
  <si>
    <t>B2.  LAMPHOLES</t>
  </si>
  <si>
    <t>B2.1</t>
  </si>
  <si>
    <t>Lamphole assembly (to 3.0m deep)</t>
  </si>
  <si>
    <t>To CMDG standard. Incl. shaft, cover &amp; surround.</t>
  </si>
  <si>
    <t>PACKAGE C — PLASTIC PIPE: STORMWATER, SEWER, INTERLOT &amp; SUBSOIL</t>
  </si>
  <si>
    <t>C1.  STORMWATER — HDPE / POLYPROPYLENE STRUCTURED WALL, SN8</t>
  </si>
  <si>
    <t>C1.1</t>
  </si>
  <si>
    <t>375mm dia. HDPE SN8 stormwater pipe, RRJ</t>
  </si>
  <si>
    <t>AS/NZS 5065. Rate to include rubber rings/couplings.</t>
  </si>
  <si>
    <t>C1.2</t>
  </si>
  <si>
    <t>450mm dia. HDPE SN8 stormwater pipe, RRJ</t>
  </si>
  <si>
    <t>C1.3</t>
  </si>
  <si>
    <t>525mm dia. HDPE SN8 stormwater pipe, RRJ</t>
  </si>
  <si>
    <t>C1.4</t>
  </si>
  <si>
    <t>600mm dia. HDPE SN8 stormwater pipe, RRJ</t>
  </si>
  <si>
    <t>C2.  SEWER — uPVC SN8 RUBBER RING JOINT</t>
  </si>
  <si>
    <t>C2.1</t>
  </si>
  <si>
    <t>DN150 uPVC SN8 RRJ sewer pipe</t>
  </si>
  <si>
    <t>AS/NZS 1260, SN8, rubber ring joint</t>
  </si>
  <si>
    <t>C2.2</t>
  </si>
  <si>
    <t>DN300 uPVC SN8 RRJ sewer pipe</t>
  </si>
  <si>
    <t>C2.3</t>
  </si>
  <si>
    <t>100mm dia. property sewer junction (Types B, C1, C2, D)</t>
  </si>
  <si>
    <t>To CMDG. State fitting build-up per type.</t>
  </si>
  <si>
    <t>C2.4</t>
  </si>
  <si>
    <t>DN150 sewer bends (6°, 11¼°, 22½°, 33¾°, 45°)</t>
  </si>
  <si>
    <t>uPVC RRJ. Price as an average or itemise by angle.</t>
  </si>
  <si>
    <t>C3.  INTERLOT DRAINAGE — uPVC SN8</t>
  </si>
  <si>
    <t>C3.1</t>
  </si>
  <si>
    <t>150mm dia. uPVC SN8 stormwater pipe</t>
  </si>
  <si>
    <t>AS/NZS 1254 / AS/NZS 1260 SN8</t>
  </si>
  <si>
    <t>C3.2</t>
  </si>
  <si>
    <t>200mm dia. uPVC SN8 stormwater pipe</t>
  </si>
  <si>
    <t>C3.3</t>
  </si>
  <si>
    <t>225mm dia. uPVC SN8 stormwater pipe</t>
  </si>
  <si>
    <t>C3.4</t>
  </si>
  <si>
    <t>300mm dia. uPVC SN8 stormwater pipe</t>
  </si>
  <si>
    <t>C3.5</t>
  </si>
  <si>
    <t>100mm dia. uPVC junction to lot from kerb adaptor</t>
  </si>
  <si>
    <t>C3.6</t>
  </si>
  <si>
    <t>Stormwater junction to IAD pit</t>
  </si>
  <si>
    <t>uPVC junction fitting</t>
  </si>
  <si>
    <t>C4.  SUBSOIL &amp; BIO-RETENTION PIPEWORK</t>
  </si>
  <si>
    <t>C4.1</t>
  </si>
  <si>
    <t>100mm dia. draincoil with filter sock</t>
  </si>
  <si>
    <t>Slotted corrugated draincoil, geotextile sock. Per specification.</t>
  </si>
  <si>
    <t>C4.2</t>
  </si>
  <si>
    <t>Subsoil drain flushing point</t>
  </si>
  <si>
    <t>Riser, cap and surround, at max. 50m intervals</t>
  </si>
  <si>
    <t>C4.3</t>
  </si>
  <si>
    <t>100mm dia. slotted / unslotted pipe (bio-retention underdrain)</t>
  </si>
  <si>
    <t>Bio-retention basin underdrain — PIPE ONLY (media excluded)</t>
  </si>
  <si>
    <t>PACKAGE D — WATER RETICULATION: PIPE, FITTINGS, HYDRANTS &amp; VALVES</t>
  </si>
  <si>
    <t>NOTE: mains are specified as PVC PN16. Please ALSO price an HDPE PN16 equivalent in the 'Alternative offered' column.</t>
  </si>
  <si>
    <t>D1.  MAINS  (specified PVC PN16 — also price HDPE PN16 alternative)</t>
  </si>
  <si>
    <t>D1.1</t>
  </si>
  <si>
    <t>DN63 PE100 PN12.5 poly main</t>
  </si>
  <si>
    <t>AS/NZS 4130</t>
  </si>
  <si>
    <t>D1.2</t>
  </si>
  <si>
    <t>100mm dia. PVC PN16 potable main</t>
  </si>
  <si>
    <t>AS/NZS 1477, PN16, blue-brute or equal</t>
  </si>
  <si>
    <t>D1.3</t>
  </si>
  <si>
    <t>200mm dia. PVC PN16 potable main</t>
  </si>
  <si>
    <t>AS/NZS 1477, PN16</t>
  </si>
  <si>
    <t>D1.4</t>
  </si>
  <si>
    <t>250mm dia. PVC PN16 potable main</t>
  </si>
  <si>
    <t>D2.  HYDRANTS  (per CMDG-W-060)</t>
  </si>
  <si>
    <t>D2.1</t>
  </si>
  <si>
    <t>Hydrant assembly to suit 100mm dia.</t>
  </si>
  <si>
    <t>CMDG-W-060. Incl. tee, hydrant, riser, valve, surround &amp; cover.</t>
  </si>
  <si>
    <t>D2.2</t>
  </si>
  <si>
    <t>Hydrant assembly to suit 200mm dia.</t>
  </si>
  <si>
    <t>CMDG-W-060, complete assembly</t>
  </si>
  <si>
    <t>D2.3</t>
  </si>
  <si>
    <t>Hydrant assembly to suit 250mm dia.</t>
  </si>
  <si>
    <t>D2.4</t>
  </si>
  <si>
    <t>Temporary ducksfoot hydrant to suit 100mm</t>
  </si>
  <si>
    <t>CMDG-W-060</t>
  </si>
  <si>
    <t>D2.5</t>
  </si>
  <si>
    <t>Temporary ducksfoot hydrant to suit 200mm</t>
  </si>
  <si>
    <t>D2.6</t>
  </si>
  <si>
    <t>Temporary ducksfoot hydrant to suit 250mm</t>
  </si>
  <si>
    <t>D3.  VALVES  (per CMDG-W-060 / W-080)</t>
  </si>
  <si>
    <t>D3.1</t>
  </si>
  <si>
    <t>Stop valve to suit 100mm dia.</t>
  </si>
  <si>
    <t>CMDG-W-060. Incl. valve, box, surround &amp; cover.</t>
  </si>
  <si>
    <t>D3.2</t>
  </si>
  <si>
    <t>Stop valve to suit 200mm dia.</t>
  </si>
  <si>
    <t>CMDG-W-060, complete</t>
  </si>
  <si>
    <t>D3.3</t>
  </si>
  <si>
    <t>Stop valve to suit 250mm dia.</t>
  </si>
  <si>
    <t>D3.4</t>
  </si>
  <si>
    <t>Scour valve to suit 100mm dia.</t>
  </si>
  <si>
    <t>CMDG-W-080, incl. connection to kerb-side drainage pit</t>
  </si>
  <si>
    <t>D3.5</t>
  </si>
  <si>
    <t>Scour valve to suit 250mm dia.</t>
  </si>
  <si>
    <t>CMDG-W-080</t>
  </si>
  <si>
    <t>D4.  FITTINGS</t>
  </si>
  <si>
    <t>D4.1</t>
  </si>
  <si>
    <t>Tee — small (100x100, 100x200)</t>
  </si>
  <si>
    <t>PVC PN16 / DICL to suit</t>
  </si>
  <si>
    <t>D4.2</t>
  </si>
  <si>
    <t>Tee — medium (100x250, 200x200, 250x100)</t>
  </si>
  <si>
    <t>D4.3</t>
  </si>
  <si>
    <t>Tee — large (250x250)</t>
  </si>
  <si>
    <t>D4.4</t>
  </si>
  <si>
    <t>Reducers (100x200, 100x250, 200x250)</t>
  </si>
  <si>
    <t>D4.5</t>
  </si>
  <si>
    <t>Bends 100mm (11¼°, 22½°, 45°, 90°)</t>
  </si>
  <si>
    <t>PVC PN16 / DICL. Excl. thrust block concrete.</t>
  </si>
  <si>
    <t>D4.6</t>
  </si>
  <si>
    <t>Bends 200mm (11¼°, 45°, 90°)</t>
  </si>
  <si>
    <t>PVC PN16 / DICL</t>
  </si>
  <si>
    <t>D4.7</t>
  </si>
  <si>
    <t>Bends 250mm (11¼°, 22½°, 33¾°, 45°, 90°)</t>
  </si>
  <si>
    <t>D4.8</t>
  </si>
  <si>
    <t>6° connector — 100mm</t>
  </si>
  <si>
    <t>PVC PN16</t>
  </si>
  <si>
    <t>D4.9</t>
  </si>
  <si>
    <t>6° connector — 200mm</t>
  </si>
  <si>
    <t>D4.10</t>
  </si>
  <si>
    <t>6° connector — 250mm</t>
  </si>
  <si>
    <t>D4.11</t>
  </si>
  <si>
    <t>End cap to suit 100mm dia. PVC</t>
  </si>
  <si>
    <t>CMDG-W-081. Excl. thrust block concrete.</t>
  </si>
  <si>
    <t>D4.12</t>
  </si>
  <si>
    <t>Elongated tapping band</t>
  </si>
  <si>
    <t>CMDG-W-081</t>
  </si>
  <si>
    <t>D4.13</t>
  </si>
  <si>
    <t>63mm poly end connector</t>
  </si>
  <si>
    <t>D5.  HOUSE SERVICES  (per CMDG-W-090)</t>
  </si>
  <si>
    <t>D5.1</t>
  </si>
  <si>
    <t>Main cock &amp; tapping incl. main cock cover — 63/100mm main</t>
  </si>
  <si>
    <t>CMDG-W-090</t>
  </si>
  <si>
    <t>D5.2</t>
  </si>
  <si>
    <t>Main cock &amp; tapping incl. main cock cover — 200/250mm main</t>
  </si>
  <si>
    <t>D5.3</t>
  </si>
  <si>
    <t>Water service materials — under road, incl. conduit</t>
  </si>
  <si>
    <t>CMDG-W-090. Poly pipe, conduit &amp; all fittings.</t>
  </si>
  <si>
    <t>D5.4</t>
  </si>
  <si>
    <t>Water service materials — short side</t>
  </si>
  <si>
    <t>CMDG-W-090. Poly pipe &amp; all fittings.</t>
  </si>
  <si>
    <t>PACKAGE E — QUARRY PRODUCTS</t>
  </si>
  <si>
    <t>E1.  PIPE BEDDING &amp; BACKFILL</t>
  </si>
  <si>
    <t>E1.1</t>
  </si>
  <si>
    <t>Pipe bedding sand / aggregate, delivered to site</t>
  </si>
  <si>
    <t>To CMDG / engineer's specification for pipe bedding &amp; haunch support.</t>
  </si>
  <si>
    <t>m3</t>
  </si>
  <si>
    <t>E1.2</t>
  </si>
  <si>
    <t>Trench backfill — select fill (provisional)</t>
  </si>
  <si>
    <t>Qty provisional — advise rate for pricing purposes</t>
  </si>
  <si>
    <t>Bedding quantity derived at 0.35 m3 per metre of trench across all sewer, water and stormwater pipework. Subject to confirmation of trench dimensions.</t>
  </si>
  <si>
    <t>PACKAGE F — CONCRETE, REINFORCEMENT &amp; FORMWORK  (subcontract supply &amp; place)</t>
  </si>
  <si>
    <t>PRICE-CRITICAL: these are major cast in-situ structural items with no pricing currently held. Quotation required urgently.</t>
  </si>
  <si>
    <t>F1.  CULVERT STRUCTURES — TRUNK ROAD SECTION C</t>
  </si>
  <si>
    <t>F1.1</t>
  </si>
  <si>
    <t>Base slab to 3.6m box culverts — supply &amp; place</t>
  </si>
  <si>
    <t>Per structural engineer's details. Concrete, reinforcement, formwork, finish.</t>
  </si>
  <si>
    <t>F1.2</t>
  </si>
  <si>
    <t>64m long cast in-situ headwall to culverts, incl. concrete aprons</t>
  </si>
  <si>
    <t>Per structural engineer's details. 2 no. required. Concrete, reo, formwork.</t>
  </si>
  <si>
    <t>F1.3</t>
  </si>
  <si>
    <t>Outlet protection to culvert system &amp; headwalls</t>
  </si>
  <si>
    <t>Rock protection / concrete apron to engineer's detail</t>
  </si>
  <si>
    <t>F2.  ANCILLARY CONCRETE</t>
  </si>
  <si>
    <t>F2.1</t>
  </si>
  <si>
    <t>Thrust block concrete to water main bends &amp; fittings</t>
  </si>
  <si>
    <t>N20 concrete, cast in-situ. Approx. 85 no. locations.</t>
  </si>
  <si>
    <t>Structural drawings and details to be provided on request. Suppliers/subcontractors are asked to confirm concrete grade, reinforcement schedule and any temporary works allowance.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</si>
</sst>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
    <numFmt numFmtId="166" formatCode="\$#,##0"/>
  </numFmts>
  <fonts count="13" x14ac:knownFonts="1">
    <font>
      <sz val="11"/>
      <color theme="1"/>
      <name val="Calibri"/>
      <family val="2"/>
      <charset val="1"/>
    </font>
    <font>
      <b/>
      <sz val="14"/>
      <color rgb="FF1F3864"/>
      <name val="Arial"/>
      <charset val="1"/>
    </font>
    <font>
      <b/>
      <sz val="11"/>
      <color rgb="FF1F3864"/>
      <name val="Arial"/>
      <charset val="1"/>
    </font>
    <font>
      <i/>
      <sz val="9"/>
      <color rgb="FF808080"/>
      <name val="Arial"/>
      <charset val="1"/>
    </font>
    <font>
      <b/>
      <sz val="10"/>
      <name val="Arial"/>
      <charset val="1"/>
    </font>
    <font>
      <sz val="10"/>
      <name val="Arial"/>
      <charset val="1"/>
    </font>
    <font>
      <b/>
      <sz val="10"/>
      <color rgb="FF1F3864"/>
      <name val="Arial"/>
      <charset val="1"/>
    </font>
    <font>
      <sz val="9"/>
      <color rgb="FFC00000"/>
      <name val="Arial"/>
      <charset val="1"/>
    </font>
    <font>
      <b/>
      <sz val="14"/>
      <color rgb="FFC00000"/>
      <name val="Arial"/>
      <charset val="1"/>
    </font>
    <font>
      <b/>
      <sz val="9"/>
      <color rgb="FFFFFFFF"/>
      <name val="Arial"/>
      <charset val="1"/>
    </font>
    <font>
      <b/>
      <sz val="10"/>
      <color rgb="FFC00000"/>
      <name val="Arial"/>
      <charset val="1"/>
    </font>
    <font>
      <sz val="9"/>
      <name val="Arial"/>
      <charset val="1"/>
    </font>
    <font>
      <b/>
      <sz val="12"/>
      <color rgb="FFC00000"/>
      <name val="Arial"/>
      <charset val="1"/>
    </font>
  </fonts>
  <fills count="6">
    <fill>
      <patternFill patternType="none"/>
    </fill>
    <fill>
      <patternFill patternType="gray125"/>
    </fill>
    <fill>
      <patternFill patternType="solid">
        <fgColor rgb="FFD9E1F2"/>
        <bgColor rgb="FFE2EFDA"/>
      </patternFill>
    </fill>
    <fill>
      <patternFill patternType="solid">
        <fgColor rgb="FF1F3864"/>
        <bgColor rgb="FF333333"/>
      </patternFill>
    </fill>
    <fill>
      <patternFill patternType="solid">
        <fgColor rgb="FFE2EFDA"/>
        <bgColor rgb="FFD9E1F2"/>
      </patternFill>
    </fill>
    <fill>
      <patternFill patternType="solid">
        <fgColor rgb="FFFFF2CC"/>
        <b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2">
    <xf numFmtId="0" fontId="0" fillId="0" borderId="0" xfId="0"/>
    <xf numFmtId="0" fontId="1" fillId="0" borderId="0" xfId="0" applyFont="1"/>
    <xf numFmtId="0" fontId="2" fillId="0" borderId="0" xfId="0" applyFont="1"/>
    <xf numFmtId="0" fontId="3" fillId="0" borderId="0" xfId="0" applyFont="1"/>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0" fontId="6" fillId="2" borderId="0" xfId="0" applyFont="1" applyFill="1" applyAlignment="1">
      <alignment horizontal="left" vertical="center" wrapText="1"/>
    </xf>
    <xf numFmtId="0" fontId="6" fillId="2" borderId="0" xfId="0" applyFont="1" applyFill="1"/>
    <xf numFmtId="0" fontId="4" fillId="0" borderId="0" xfId="0" applyFont="1" applyAlignment="1">
      <alignment horizontal="left" vertical="center" wrapText="1"/>
    </xf>
    <xf numFmtId="0" fontId="5" fillId="0" borderId="0" xfId="0" applyFont="1" applyAlignment="1">
      <alignment horizontal="left" vertical="center" wrapText="1"/>
    </xf>
    <xf numFmtId="0" fontId="7" fillId="0" borderId="0" xfId="0" applyFont="1" applyAlignment="1">
      <alignment horizontal="left" vertical="center" wrapText="1"/>
    </xf>
    <xf numFmtId="0" fontId="8" fillId="0" borderId="0" xfId="0" applyFont="1"/>
    <xf numFmtId="0" fontId="7" fillId="0" borderId="0" xfId="0" applyFont="1"/>
    <xf numFmtId="0" fontId="9" fillId="3" borderId="1" xfId="0" applyFont="1" applyFill="1" applyBorder="1" applyAlignment="1">
      <alignment horizontal="center" vertical="center"/>
    </xf>
    <xf numFmtId="0" fontId="9" fillId="3" borderId="1" xfId="0" applyFont="1" applyFill="1" applyBorder="1" applyAlignment="1">
      <alignment horizontal="left" vertical="center" wrapText="1"/>
    </xf>
    <xf numFmtId="0" fontId="4" fillId="0" borderId="1" xfId="0" applyFont="1" applyBorder="1" applyAlignment="1">
      <alignment horizontal="center" vertical="center"/>
    </xf>
    <xf numFmtId="0" fontId="10" fillId="0" borderId="1" xfId="0" applyFont="1" applyBorder="1" applyAlignment="1">
      <alignment horizontal="left" vertical="center" wrapText="1"/>
    </xf>
    <xf numFmtId="0" fontId="5" fillId="0" borderId="1" xfId="0" applyFont="1" applyBorder="1" applyAlignment="1">
      <alignment horizontal="center" vertical="center"/>
    </xf>
    <xf numFmtId="164" fontId="5" fillId="0" borderId="1" xfId="0" applyNumberFormat="1" applyFont="1" applyBorder="1" applyAlignment="1">
      <alignment horizontal="right" vertical="center"/>
    </xf>
    <xf numFmtId="165" fontId="5" fillId="0" borderId="1" xfId="0" applyNumberFormat="1" applyFont="1" applyBorder="1" applyAlignment="1">
      <alignment horizontal="right" vertical="center"/>
    </xf>
    <xf numFmtId="166" fontId="4" fillId="0" borderId="1" xfId="0" applyNumberFormat="1" applyFont="1" applyBorder="1" applyAlignment="1">
      <alignment horizontal="right" vertical="center"/>
    </xf>
    <xf numFmtId="0" fontId="11" fillId="0" borderId="1" xfId="0" applyFont="1" applyBorder="1" applyAlignment="1">
      <alignment horizontal="left" vertical="center" wrapText="1"/>
    </xf>
    <xf numFmtId="3" fontId="5" fillId="0" borderId="1" xfId="0" applyNumberFormat="1" applyFont="1" applyBorder="1" applyAlignment="1">
      <alignment horizontal="right" vertical="center"/>
    </xf>
    <xf numFmtId="0" fontId="4" fillId="4" borderId="1" xfId="0" applyFont="1" applyFill="1" applyBorder="1" applyAlignment="1">
      <alignment horizontal="left" vertical="center" wrapText="1"/>
    </xf>
    <xf numFmtId="0" fontId="4" fillId="4" borderId="1" xfId="0" applyFont="1" applyFill="1" applyBorder="1"/>
    <xf numFmtId="166" fontId="12" fillId="4" borderId="1" xfId="0" applyNumberFormat="1" applyFont="1" applyFill="1" applyBorder="1" applyAlignment="1">
      <alignment horizontal="right" vertical="center"/>
    </xf>
    <xf numFmtId="0" fontId="9" fillId="3" borderId="1" xfId="0" applyFont="1" applyFill="1" applyBorder="1" applyAlignment="1">
      <alignment horizontal="center" vertical="center" wrapText="1"/>
    </xf>
    <xf numFmtId="164" fontId="4" fillId="0" borderId="1" xfId="0" applyNumberFormat="1" applyFont="1" applyBorder="1" applyAlignment="1">
      <alignment horizontal="right" vertical="center"/>
    </xf>
    <xf numFmtId="165" fontId="5" fillId="5" borderId="1" xfId="0" applyNumberFormat="1" applyFont="1" applyFill="1" applyBorder="1" applyAlignment="1">
      <alignment horizontal="right" vertical="center"/>
    </xf>
    <xf numFmtId="0" fontId="5" fillId="5" borderId="1" xfId="0" applyFont="1" applyFill="1" applyBorder="1" applyAlignment="1">
      <alignment horizontal="left" vertical="center" wrapText="1"/>
    </xf>
    <xf numFmtId="3" fontId="4" fillId="0" borderId="1" xfId="0" applyNumberFormat="1" applyFont="1" applyBorder="1" applyAlignment="1">
      <alignment horizontal="right" vertical="center"/>
    </xf>
    <xf numFmtId="166" fontId="4" fillId="4" borderId="1" xfId="0" applyNumberFormat="1" applyFont="1" applyFill="1" applyBorder="1" applyAlignment="1">
      <alignment horizontal="right" vertical="center"/>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35"/>
  <sheetViews>
    <sheetView showGridLines="0" tabSelected="1" zoomScaleNormal="100" workbookViewId="0"/>
  </sheetViews>
  <sheetFormatPr defaultColWidth="8.6640625" defaultRowHeight="14.4" x14ac:dyDescent="0.3"/>
  <cols>
    <col min="1" max="1" width="3" customWidth="1"/>
    <col min="2" max="2" width="34" customWidth="1"/>
    <col min="3" max="3" width="78" customWidth="1"/>
  </cols>
  <sheetData>
    <row r="2" spans="2:3" ht="17.399999999999999" x14ac:dyDescent="0.3">
      <c r="B2" s="1" t="s">
        <v>0</v>
      </c>
    </row>
    <row r="3" spans="2:3" x14ac:dyDescent="0.3">
      <c r="B3" s="2" t="s">
        <v>1</v>
      </c>
    </row>
    <row r="4" spans="2:3" x14ac:dyDescent="0.3">
      <c r="B4" s="3" t="s">
        <v>2</v>
      </c>
    </row>
    <row r="6" spans="2:3" x14ac:dyDescent="0.3">
      <c r="B6" s="4" t="s">
        <v>3</v>
      </c>
      <c r="C6" s="5" t="s">
        <v>4</v>
      </c>
    </row>
    <row r="7" spans="2:3" x14ac:dyDescent="0.3">
      <c r="B7" s="4" t="s">
        <v>5</v>
      </c>
      <c r="C7" s="5" t="s">
        <v>6</v>
      </c>
    </row>
    <row r="8" spans="2:3" x14ac:dyDescent="0.3">
      <c r="B8" s="4" t="s">
        <v>7</v>
      </c>
      <c r="C8" s="5" t="s">
        <v>8</v>
      </c>
    </row>
    <row r="9" spans="2:3" x14ac:dyDescent="0.3">
      <c r="B9" s="4" t="s">
        <v>9</v>
      </c>
      <c r="C9" s="5" t="s">
        <v>10</v>
      </c>
    </row>
    <row r="10" spans="2:3" x14ac:dyDescent="0.3">
      <c r="B10" s="4" t="s">
        <v>11</v>
      </c>
      <c r="C10" s="5" t="s">
        <v>12</v>
      </c>
    </row>
    <row r="11" spans="2:3" x14ac:dyDescent="0.3">
      <c r="B11" s="4" t="s">
        <v>13</v>
      </c>
      <c r="C11" s="5" t="s">
        <v>14</v>
      </c>
    </row>
    <row r="12" spans="2:3" x14ac:dyDescent="0.3">
      <c r="B12" s="4" t="s">
        <v>15</v>
      </c>
      <c r="C12" s="5" t="s">
        <v>16</v>
      </c>
    </row>
    <row r="13" spans="2:3" x14ac:dyDescent="0.3">
      <c r="B13" s="4" t="s">
        <v>17</v>
      </c>
      <c r="C13" s="5" t="s">
        <v>18</v>
      </c>
    </row>
    <row r="14" spans="2:3" x14ac:dyDescent="0.3">
      <c r="B14" s="4" t="s">
        <v>19</v>
      </c>
      <c r="C14" s="5" t="s">
        <v>20</v>
      </c>
    </row>
    <row r="15" spans="2:3" x14ac:dyDescent="0.3">
      <c r="B15" s="4" t="s">
        <v>21</v>
      </c>
      <c r="C15" s="5" t="s">
        <v>22</v>
      </c>
    </row>
    <row r="17" spans="2:3" x14ac:dyDescent="0.3">
      <c r="B17" s="6" t="s">
        <v>23</v>
      </c>
      <c r="C17" s="7"/>
    </row>
    <row r="18" spans="2:3" ht="15" customHeight="1" x14ac:dyDescent="0.3">
      <c r="B18" s="8" t="s">
        <v>24</v>
      </c>
      <c r="C18" s="9" t="s">
        <v>25</v>
      </c>
    </row>
    <row r="19" spans="2:3" ht="39" customHeight="1" x14ac:dyDescent="0.3">
      <c r="B19" s="8" t="s">
        <v>26</v>
      </c>
      <c r="C19" s="9" t="s">
        <v>27</v>
      </c>
    </row>
    <row r="20" spans="2:3" ht="39" customHeight="1" x14ac:dyDescent="0.3">
      <c r="B20" s="8" t="s">
        <v>28</v>
      </c>
      <c r="C20" s="9" t="s">
        <v>29</v>
      </c>
    </row>
    <row r="21" spans="2:3" ht="39" customHeight="1" x14ac:dyDescent="0.3">
      <c r="B21" s="8" t="s">
        <v>30</v>
      </c>
      <c r="C21" s="9" t="s">
        <v>31</v>
      </c>
    </row>
    <row r="22" spans="2:3" ht="25.5" customHeight="1" x14ac:dyDescent="0.3">
      <c r="B22" s="8" t="s">
        <v>32</v>
      </c>
      <c r="C22" s="9" t="s">
        <v>33</v>
      </c>
    </row>
    <row r="23" spans="2:3" ht="39" customHeight="1" x14ac:dyDescent="0.3">
      <c r="B23" s="8" t="s">
        <v>34</v>
      </c>
      <c r="C23" s="9" t="s">
        <v>35</v>
      </c>
    </row>
    <row r="24" spans="2:3" ht="25.5" customHeight="1" x14ac:dyDescent="0.3">
      <c r="B24" s="8" t="s">
        <v>36</v>
      </c>
      <c r="C24" s="9" t="s">
        <v>37</v>
      </c>
    </row>
    <row r="25" spans="2:3" ht="15" customHeight="1" x14ac:dyDescent="0.3">
      <c r="B25" s="8" t="s">
        <v>38</v>
      </c>
      <c r="C25" s="9" t="s">
        <v>39</v>
      </c>
    </row>
    <row r="27" spans="2:3" x14ac:dyDescent="0.3">
      <c r="B27" s="6" t="s">
        <v>40</v>
      </c>
      <c r="C27" s="7"/>
    </row>
    <row r="28" spans="2:3" ht="26.4" x14ac:dyDescent="0.3">
      <c r="B28" s="4" t="s">
        <v>41</v>
      </c>
      <c r="C28" s="5" t="s">
        <v>42</v>
      </c>
    </row>
    <row r="29" spans="2:3" x14ac:dyDescent="0.3">
      <c r="B29" s="4" t="s">
        <v>43</v>
      </c>
      <c r="C29" s="5" t="s">
        <v>44</v>
      </c>
    </row>
    <row r="30" spans="2:3" x14ac:dyDescent="0.3">
      <c r="B30" s="4" t="s">
        <v>45</v>
      </c>
      <c r="C30" s="5" t="s">
        <v>46</v>
      </c>
    </row>
    <row r="31" spans="2:3" x14ac:dyDescent="0.3">
      <c r="B31" s="4" t="s">
        <v>47</v>
      </c>
      <c r="C31" s="5" t="s">
        <v>48</v>
      </c>
    </row>
    <row r="32" spans="2:3" x14ac:dyDescent="0.3">
      <c r="B32" s="4" t="s">
        <v>49</v>
      </c>
      <c r="C32" s="5" t="s">
        <v>50</v>
      </c>
    </row>
    <row r="33" spans="2:3" ht="26.4" x14ac:dyDescent="0.3">
      <c r="B33" s="4" t="s">
        <v>51</v>
      </c>
      <c r="C33" s="5" t="s">
        <v>52</v>
      </c>
    </row>
    <row r="35" spans="2:3" ht="22.8" x14ac:dyDescent="0.3">
      <c r="B35" s="10" t="s">
        <v>53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G21"/>
  <sheetViews>
    <sheetView showGridLines="0" zoomScaleNormal="100" workbookViewId="0"/>
  </sheetViews>
  <sheetFormatPr defaultColWidth="8.6640625" defaultRowHeight="14.4" x14ac:dyDescent="0.3"/>
  <cols>
    <col min="1" max="1" width="5" customWidth="1"/>
    <col min="2" max="2" width="44" customWidth="1"/>
    <col min="3" max="3" width="10" customWidth="1"/>
    <col min="4" max="4" width="13" customWidth="1"/>
    <col min="5" max="5" width="17" customWidth="1"/>
    <col min="6" max="6" width="15" customWidth="1"/>
    <col min="7" max="7" width="52" customWidth="1"/>
  </cols>
  <sheetData>
    <row r="2" spans="1:7" ht="17.399999999999999" x14ac:dyDescent="0.3">
      <c r="B2" s="11" t="s">
        <v>54</v>
      </c>
    </row>
    <row r="3" spans="1:7" x14ac:dyDescent="0.3">
      <c r="B3" s="3" t="s">
        <v>55</v>
      </c>
    </row>
    <row r="4" spans="1:7" x14ac:dyDescent="0.3">
      <c r="B4" s="12" t="s">
        <v>56</v>
      </c>
    </row>
    <row r="6" spans="1:7" ht="19.5" customHeight="1" x14ac:dyDescent="0.3">
      <c r="A6" s="13" t="s">
        <v>57</v>
      </c>
      <c r="B6" s="14" t="s">
        <v>58</v>
      </c>
      <c r="C6" s="13" t="s">
        <v>59</v>
      </c>
      <c r="D6" s="13" t="s">
        <v>60</v>
      </c>
      <c r="E6" s="13" t="s">
        <v>61</v>
      </c>
      <c r="F6" s="13" t="s">
        <v>62</v>
      </c>
      <c r="G6" s="14" t="s">
        <v>63</v>
      </c>
    </row>
    <row r="7" spans="1:7" ht="39" customHeight="1" x14ac:dyDescent="0.3">
      <c r="A7" s="15">
        <v>1</v>
      </c>
      <c r="B7" s="16" t="s">
        <v>64</v>
      </c>
      <c r="C7" s="17" t="s">
        <v>65</v>
      </c>
      <c r="D7" s="18">
        <v>235.2</v>
      </c>
      <c r="E7" s="19">
        <v>4250</v>
      </c>
      <c r="F7" s="20">
        <f t="shared" ref="F7:F20" si="0">D7*E7</f>
        <v>999600</v>
      </c>
      <c r="G7" s="21" t="s">
        <v>66</v>
      </c>
    </row>
    <row r="8" spans="1:7" ht="25.5" customHeight="1" x14ac:dyDescent="0.3">
      <c r="A8" s="15">
        <v>2</v>
      </c>
      <c r="B8" s="16" t="s">
        <v>67</v>
      </c>
      <c r="C8" s="17" t="s">
        <v>68</v>
      </c>
      <c r="D8" s="22">
        <v>84</v>
      </c>
      <c r="E8" s="19">
        <v>2600</v>
      </c>
      <c r="F8" s="20">
        <f t="shared" si="0"/>
        <v>218400</v>
      </c>
      <c r="G8" s="21" t="s">
        <v>69</v>
      </c>
    </row>
    <row r="9" spans="1:7" ht="25.5" customHeight="1" x14ac:dyDescent="0.3">
      <c r="A9" s="15">
        <v>3</v>
      </c>
      <c r="B9" s="16" t="s">
        <v>70</v>
      </c>
      <c r="C9" s="17" t="s">
        <v>65</v>
      </c>
      <c r="D9" s="18">
        <v>33.6</v>
      </c>
      <c r="E9" s="19">
        <v>4550</v>
      </c>
      <c r="F9" s="20">
        <f t="shared" si="0"/>
        <v>152880</v>
      </c>
      <c r="G9" s="21" t="s">
        <v>71</v>
      </c>
    </row>
    <row r="10" spans="1:7" ht="39" customHeight="1" x14ac:dyDescent="0.3">
      <c r="A10" s="15">
        <v>4</v>
      </c>
      <c r="B10" s="16" t="s">
        <v>72</v>
      </c>
      <c r="C10" s="17" t="s">
        <v>68</v>
      </c>
      <c r="D10" s="22">
        <v>2</v>
      </c>
      <c r="E10" s="19">
        <v>75000</v>
      </c>
      <c r="F10" s="20">
        <f t="shared" si="0"/>
        <v>150000</v>
      </c>
      <c r="G10" s="21" t="s">
        <v>73</v>
      </c>
    </row>
    <row r="11" spans="1:7" ht="25.5" customHeight="1" x14ac:dyDescent="0.3">
      <c r="A11" s="15">
        <v>5</v>
      </c>
      <c r="B11" s="16" t="s">
        <v>74</v>
      </c>
      <c r="C11" s="17" t="s">
        <v>65</v>
      </c>
      <c r="D11" s="18">
        <v>2249</v>
      </c>
      <c r="E11" s="19">
        <v>58</v>
      </c>
      <c r="F11" s="20">
        <f t="shared" si="0"/>
        <v>130442</v>
      </c>
      <c r="G11" s="21" t="s">
        <v>75</v>
      </c>
    </row>
    <row r="12" spans="1:7" ht="15.75" customHeight="1" x14ac:dyDescent="0.3">
      <c r="A12" s="15">
        <v>6</v>
      </c>
      <c r="B12" s="5" t="s">
        <v>76</v>
      </c>
      <c r="C12" s="17" t="s">
        <v>65</v>
      </c>
      <c r="D12" s="18">
        <v>289.8</v>
      </c>
      <c r="E12" s="19">
        <v>400</v>
      </c>
      <c r="F12" s="20">
        <f t="shared" si="0"/>
        <v>115920</v>
      </c>
      <c r="G12" s="21" t="s">
        <v>77</v>
      </c>
    </row>
    <row r="13" spans="1:7" ht="25.5" customHeight="1" x14ac:dyDescent="0.3">
      <c r="A13" s="15">
        <v>7</v>
      </c>
      <c r="B13" s="5" t="s">
        <v>78</v>
      </c>
      <c r="C13" s="17" t="s">
        <v>68</v>
      </c>
      <c r="D13" s="22">
        <v>37</v>
      </c>
      <c r="E13" s="19">
        <v>2800</v>
      </c>
      <c r="F13" s="20">
        <f t="shared" si="0"/>
        <v>103600</v>
      </c>
      <c r="G13" s="21" t="s">
        <v>79</v>
      </c>
    </row>
    <row r="14" spans="1:7" ht="25.5" customHeight="1" x14ac:dyDescent="0.3">
      <c r="A14" s="15">
        <v>8</v>
      </c>
      <c r="B14" s="5" t="s">
        <v>80</v>
      </c>
      <c r="C14" s="17" t="s">
        <v>68</v>
      </c>
      <c r="D14" s="22">
        <v>14</v>
      </c>
      <c r="E14" s="19">
        <v>7500</v>
      </c>
      <c r="F14" s="20">
        <f t="shared" si="0"/>
        <v>105000</v>
      </c>
      <c r="G14" s="21" t="s">
        <v>81</v>
      </c>
    </row>
    <row r="15" spans="1:7" ht="25.5" customHeight="1" x14ac:dyDescent="0.3">
      <c r="A15" s="15">
        <v>9</v>
      </c>
      <c r="B15" s="5" t="s">
        <v>82</v>
      </c>
      <c r="C15" s="17" t="s">
        <v>83</v>
      </c>
      <c r="D15" s="18">
        <v>1072.3</v>
      </c>
      <c r="E15" s="19">
        <v>95</v>
      </c>
      <c r="F15" s="20">
        <f t="shared" si="0"/>
        <v>101868.5</v>
      </c>
      <c r="G15" s="21" t="s">
        <v>84</v>
      </c>
    </row>
    <row r="16" spans="1:7" ht="15.75" customHeight="1" x14ac:dyDescent="0.3">
      <c r="A16" s="15">
        <v>10</v>
      </c>
      <c r="B16" s="5" t="s">
        <v>85</v>
      </c>
      <c r="C16" s="17" t="s">
        <v>65</v>
      </c>
      <c r="D16" s="18">
        <v>117.9</v>
      </c>
      <c r="E16" s="19">
        <v>500</v>
      </c>
      <c r="F16" s="20">
        <f t="shared" si="0"/>
        <v>58950</v>
      </c>
      <c r="G16" s="21" t="s">
        <v>86</v>
      </c>
    </row>
    <row r="17" spans="1:7" ht="25.5" customHeight="1" x14ac:dyDescent="0.3">
      <c r="A17" s="15">
        <v>11</v>
      </c>
      <c r="B17" s="5" t="s">
        <v>87</v>
      </c>
      <c r="C17" s="17" t="s">
        <v>65</v>
      </c>
      <c r="D17" s="18">
        <v>2346</v>
      </c>
      <c r="E17" s="19">
        <v>15</v>
      </c>
      <c r="F17" s="20">
        <f t="shared" si="0"/>
        <v>35190</v>
      </c>
      <c r="G17" s="21" t="s">
        <v>88</v>
      </c>
    </row>
    <row r="18" spans="1:7" ht="15.75" customHeight="1" x14ac:dyDescent="0.3">
      <c r="A18" s="15">
        <v>12</v>
      </c>
      <c r="B18" s="5" t="s">
        <v>89</v>
      </c>
      <c r="C18" s="17" t="s">
        <v>68</v>
      </c>
      <c r="D18" s="22">
        <v>21</v>
      </c>
      <c r="E18" s="19">
        <v>1500</v>
      </c>
      <c r="F18" s="20">
        <f t="shared" si="0"/>
        <v>31500</v>
      </c>
      <c r="G18" s="21" t="s">
        <v>90</v>
      </c>
    </row>
    <row r="19" spans="1:7" ht="15.75" customHeight="1" x14ac:dyDescent="0.3">
      <c r="A19" s="15">
        <v>13</v>
      </c>
      <c r="B19" s="5" t="s">
        <v>91</v>
      </c>
      <c r="C19" s="17" t="s">
        <v>65</v>
      </c>
      <c r="D19" s="18">
        <v>92.7</v>
      </c>
      <c r="E19" s="19">
        <v>350</v>
      </c>
      <c r="F19" s="20">
        <f t="shared" si="0"/>
        <v>32445</v>
      </c>
      <c r="G19" s="21" t="s">
        <v>92</v>
      </c>
    </row>
    <row r="20" spans="1:7" ht="15.75" customHeight="1" x14ac:dyDescent="0.3">
      <c r="A20" s="15">
        <v>14</v>
      </c>
      <c r="B20" s="5" t="s">
        <v>93</v>
      </c>
      <c r="C20" s="17" t="s">
        <v>65</v>
      </c>
      <c r="D20" s="18">
        <v>356.1</v>
      </c>
      <c r="E20" s="19">
        <v>150</v>
      </c>
      <c r="F20" s="20">
        <f t="shared" si="0"/>
        <v>53415</v>
      </c>
      <c r="G20" s="21" t="s">
        <v>94</v>
      </c>
    </row>
    <row r="21" spans="1:7" ht="15.6" x14ac:dyDescent="0.3">
      <c r="B21" s="23" t="s">
        <v>95</v>
      </c>
      <c r="C21" s="24"/>
      <c r="D21" s="24"/>
      <c r="E21" s="24"/>
      <c r="F21" s="25">
        <f>SUM(F7:F20)</f>
        <v>2289210.5</v>
      </c>
      <c r="G21" s="24"/>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2"/>
  <sheetViews>
    <sheetView showGridLines="0" zoomScaleNormal="100" workbookViewId="0">
      <pane ySplit="5" topLeftCell="A6" activePane="bottomLeft" state="frozen"/>
      <selection pane="bottomLeft"/>
    </sheetView>
  </sheetViews>
  <sheetFormatPr defaultColWidth="8.6640625" defaultRowHeight="14.4" x14ac:dyDescent="0.3"/>
  <cols>
    <col min="1" max="1" width="7" customWidth="1"/>
    <col min="2" max="2" width="42" customWidth="1"/>
    <col min="3" max="3" width="34" customWidth="1"/>
    <col min="4" max="4" width="6" customWidth="1"/>
    <col min="5" max="8" width="11" customWidth="1"/>
    <col min="9" max="9" width="14" customWidth="1"/>
    <col min="10" max="10" width="15" customWidth="1"/>
    <col min="11" max="11" width="13" customWidth="1"/>
    <col min="12" max="12" width="11" customWidth="1"/>
    <col min="13" max="13" width="15" customWidth="1"/>
    <col min="14" max="14" width="34" customWidth="1"/>
  </cols>
  <sheetData>
    <row r="1" spans="1:14" ht="17.399999999999999" x14ac:dyDescent="0.3">
      <c r="A1" s="1" t="s">
        <v>96</v>
      </c>
    </row>
    <row r="2" spans="1:14" x14ac:dyDescent="0.3">
      <c r="A2" s="3" t="s">
        <v>97</v>
      </c>
    </row>
    <row r="3" spans="1:14" x14ac:dyDescent="0.3">
      <c r="A3" s="12" t="s">
        <v>98</v>
      </c>
    </row>
    <row r="5" spans="1:14" ht="42" customHeight="1" x14ac:dyDescent="0.3">
      <c r="A5" s="26" t="s">
        <v>58</v>
      </c>
      <c r="B5" s="26" t="s">
        <v>99</v>
      </c>
      <c r="C5" s="26" t="s">
        <v>100</v>
      </c>
      <c r="D5" s="26" t="s">
        <v>59</v>
      </c>
      <c r="E5" s="26" t="s">
        <v>101</v>
      </c>
      <c r="F5" s="26" t="s">
        <v>102</v>
      </c>
      <c r="G5" s="26" t="s">
        <v>103</v>
      </c>
      <c r="H5" s="26" t="s">
        <v>104</v>
      </c>
      <c r="I5" s="26" t="s">
        <v>105</v>
      </c>
      <c r="J5" s="26" t="s">
        <v>106</v>
      </c>
      <c r="K5" s="26" t="s">
        <v>107</v>
      </c>
      <c r="L5" s="26" t="s">
        <v>108</v>
      </c>
      <c r="M5" s="26" t="s">
        <v>109</v>
      </c>
      <c r="N5" s="26" t="s">
        <v>110</v>
      </c>
    </row>
    <row r="6" spans="1:14" ht="145.19999999999999" x14ac:dyDescent="0.3">
      <c r="A6" s="6" t="s">
        <v>111</v>
      </c>
      <c r="B6" s="7"/>
      <c r="C6" s="7"/>
      <c r="D6" s="7"/>
      <c r="E6" s="7"/>
      <c r="F6" s="7"/>
      <c r="G6" s="7"/>
      <c r="H6" s="7"/>
      <c r="I6" s="7"/>
      <c r="J6" s="7"/>
      <c r="K6" s="7"/>
      <c r="L6" s="7"/>
      <c r="M6" s="7"/>
      <c r="N6" s="7"/>
    </row>
    <row r="7" spans="1:14" ht="22.8" x14ac:dyDescent="0.3">
      <c r="A7" s="17" t="s">
        <v>112</v>
      </c>
      <c r="B7" s="16" t="s">
        <v>113</v>
      </c>
      <c r="C7" s="21" t="s">
        <v>114</v>
      </c>
      <c r="D7" s="17" t="s">
        <v>65</v>
      </c>
      <c r="E7" s="18">
        <v>235.2</v>
      </c>
      <c r="F7" s="18" t="s">
        <v>115</v>
      </c>
      <c r="G7" s="18" t="s">
        <v>115</v>
      </c>
      <c r="H7" s="27">
        <f>SUM(E7:G7)</f>
        <v>235.2</v>
      </c>
      <c r="I7" s="28"/>
      <c r="J7" s="19" t="str">
        <f>IF(I7="","",H7*I7)</f>
        <v/>
      </c>
      <c r="K7" s="29"/>
      <c r="L7" s="29"/>
      <c r="M7" s="29"/>
      <c r="N7" s="29"/>
    </row>
    <row r="8" spans="1:14" ht="22.8" x14ac:dyDescent="0.3">
      <c r="A8" s="17" t="s">
        <v>116</v>
      </c>
      <c r="B8" s="16" t="s">
        <v>117</v>
      </c>
      <c r="C8" s="21" t="s">
        <v>114</v>
      </c>
      <c r="D8" s="17" t="s">
        <v>65</v>
      </c>
      <c r="E8" s="18">
        <v>33.6</v>
      </c>
      <c r="F8" s="18" t="s">
        <v>115</v>
      </c>
      <c r="G8" s="18" t="s">
        <v>115</v>
      </c>
      <c r="H8" s="27">
        <f>SUM(E8:G8)</f>
        <v>33.6</v>
      </c>
      <c r="I8" s="28"/>
      <c r="J8" s="19" t="str">
        <f>IF(I8="","",H8*I8)</f>
        <v/>
      </c>
      <c r="K8" s="29"/>
      <c r="L8" s="29"/>
      <c r="M8" s="29"/>
      <c r="N8" s="29"/>
    </row>
    <row r="9" spans="1:14" ht="26.4" x14ac:dyDescent="0.3">
      <c r="A9" s="17" t="s">
        <v>118</v>
      </c>
      <c r="B9" s="5" t="s">
        <v>119</v>
      </c>
      <c r="C9" s="21" t="s">
        <v>120</v>
      </c>
      <c r="D9" s="17" t="s">
        <v>68</v>
      </c>
      <c r="E9" s="22">
        <v>4</v>
      </c>
      <c r="F9" s="22" t="s">
        <v>115</v>
      </c>
      <c r="G9" s="22" t="s">
        <v>115</v>
      </c>
      <c r="H9" s="30">
        <f>SUM(E9:G9)</f>
        <v>4</v>
      </c>
      <c r="I9" s="28"/>
      <c r="J9" s="19" t="str">
        <f>IF(I9="","",H9*I9)</f>
        <v/>
      </c>
      <c r="K9" s="29"/>
      <c r="L9" s="29"/>
      <c r="M9" s="29"/>
      <c r="N9" s="29"/>
    </row>
    <row r="10" spans="1:14" ht="26.4" x14ac:dyDescent="0.3">
      <c r="A10" s="17" t="s">
        <v>121</v>
      </c>
      <c r="B10" s="5" t="s">
        <v>122</v>
      </c>
      <c r="C10" s="21" t="s">
        <v>123</v>
      </c>
      <c r="D10" s="17" t="s">
        <v>83</v>
      </c>
      <c r="E10" s="18">
        <v>1072.3</v>
      </c>
      <c r="F10" s="18" t="s">
        <v>115</v>
      </c>
      <c r="G10" s="18" t="s">
        <v>115</v>
      </c>
      <c r="H10" s="27">
        <f>SUM(E10:G10)</f>
        <v>1072.3</v>
      </c>
      <c r="I10" s="28"/>
      <c r="J10" s="19" t="str">
        <f>IF(I10="","",H10*I10)</f>
        <v/>
      </c>
      <c r="K10" s="29"/>
      <c r="L10" s="29"/>
      <c r="M10" s="29"/>
      <c r="N10" s="29"/>
    </row>
    <row r="11" spans="1:14" ht="184.8" x14ac:dyDescent="0.3">
      <c r="A11" s="6" t="s">
        <v>124</v>
      </c>
      <c r="B11" s="7"/>
      <c r="C11" s="7"/>
      <c r="D11" s="7"/>
      <c r="E11" s="7"/>
      <c r="F11" s="7"/>
      <c r="G11" s="7"/>
      <c r="H11" s="7"/>
      <c r="I11" s="7"/>
      <c r="J11" s="7"/>
      <c r="K11" s="7"/>
      <c r="L11" s="7"/>
      <c r="M11" s="7"/>
      <c r="N11" s="7"/>
    </row>
    <row r="12" spans="1:14" ht="22.8" x14ac:dyDescent="0.3">
      <c r="A12" s="17" t="s">
        <v>125</v>
      </c>
      <c r="B12" s="5" t="s">
        <v>126</v>
      </c>
      <c r="C12" s="21" t="s">
        <v>127</v>
      </c>
      <c r="D12" s="17" t="s">
        <v>65</v>
      </c>
      <c r="E12" s="18">
        <v>58.268000000000001</v>
      </c>
      <c r="F12" s="18">
        <v>34.387999999999998</v>
      </c>
      <c r="G12" s="18" t="s">
        <v>115</v>
      </c>
      <c r="H12" s="27">
        <f>SUM(E12:G12)</f>
        <v>92.656000000000006</v>
      </c>
      <c r="I12" s="28"/>
      <c r="J12" s="19" t="str">
        <f>IF(I12="","",H12*I12)</f>
        <v/>
      </c>
      <c r="K12" s="29"/>
      <c r="L12" s="29"/>
      <c r="M12" s="29"/>
      <c r="N12" s="29"/>
    </row>
    <row r="13" spans="1:14" ht="22.8" x14ac:dyDescent="0.3">
      <c r="A13" s="17" t="s">
        <v>128</v>
      </c>
      <c r="B13" s="5" t="s">
        <v>129</v>
      </c>
      <c r="C13" s="21" t="s">
        <v>127</v>
      </c>
      <c r="D13" s="17" t="s">
        <v>65</v>
      </c>
      <c r="E13" s="18">
        <v>17.341999999999999</v>
      </c>
      <c r="F13" s="18">
        <v>19.893000000000001</v>
      </c>
      <c r="G13" s="18">
        <v>252.535</v>
      </c>
      <c r="H13" s="27">
        <f>SUM(E13:G13)</f>
        <v>289.77</v>
      </c>
      <c r="I13" s="28"/>
      <c r="J13" s="19" t="str">
        <f>IF(I13="","",H13*I13)</f>
        <v/>
      </c>
      <c r="K13" s="29"/>
      <c r="L13" s="29"/>
      <c r="M13" s="29"/>
      <c r="N13" s="29"/>
    </row>
    <row r="14" spans="1:14" ht="22.8" x14ac:dyDescent="0.3">
      <c r="A14" s="17" t="s">
        <v>130</v>
      </c>
      <c r="B14" s="5" t="s">
        <v>131</v>
      </c>
      <c r="C14" s="21" t="s">
        <v>127</v>
      </c>
      <c r="D14" s="17" t="s">
        <v>65</v>
      </c>
      <c r="E14" s="18" t="s">
        <v>115</v>
      </c>
      <c r="F14" s="18">
        <v>37.573999999999998</v>
      </c>
      <c r="G14" s="18" t="s">
        <v>115</v>
      </c>
      <c r="H14" s="27">
        <f>SUM(E14:G14)</f>
        <v>37.573999999999998</v>
      </c>
      <c r="I14" s="28"/>
      <c r="J14" s="19" t="str">
        <f>IF(I14="","",H14*I14)</f>
        <v/>
      </c>
      <c r="K14" s="29"/>
      <c r="L14" s="29"/>
      <c r="M14" s="29"/>
      <c r="N14" s="29"/>
    </row>
    <row r="15" spans="1:14" ht="22.8" x14ac:dyDescent="0.3">
      <c r="A15" s="17" t="s">
        <v>132</v>
      </c>
      <c r="B15" s="5" t="s">
        <v>133</v>
      </c>
      <c r="C15" s="21" t="s">
        <v>127</v>
      </c>
      <c r="D15" s="17" t="s">
        <v>65</v>
      </c>
      <c r="E15" s="18" t="s">
        <v>115</v>
      </c>
      <c r="F15" s="18">
        <v>117.895</v>
      </c>
      <c r="G15" s="18" t="s">
        <v>115</v>
      </c>
      <c r="H15" s="27">
        <f>SUM(E15:G15)</f>
        <v>117.895</v>
      </c>
      <c r="I15" s="28"/>
      <c r="J15" s="19" t="str">
        <f>IF(I15="","",H15*I15)</f>
        <v/>
      </c>
      <c r="K15" s="29"/>
      <c r="L15" s="29"/>
      <c r="M15" s="29"/>
      <c r="N15" s="29"/>
    </row>
    <row r="16" spans="1:14" ht="52.8" x14ac:dyDescent="0.3">
      <c r="A16" s="6" t="s">
        <v>134</v>
      </c>
      <c r="B16" s="7"/>
      <c r="C16" s="7"/>
      <c r="D16" s="7"/>
      <c r="E16" s="7"/>
      <c r="F16" s="7"/>
      <c r="G16" s="7"/>
      <c r="H16" s="7"/>
      <c r="I16" s="7"/>
      <c r="J16" s="7"/>
      <c r="K16" s="7"/>
      <c r="L16" s="7"/>
      <c r="M16" s="7"/>
      <c r="N16" s="7"/>
    </row>
    <row r="17" spans="1:14" x14ac:dyDescent="0.3">
      <c r="A17" s="17" t="s">
        <v>135</v>
      </c>
      <c r="B17" s="5" t="s">
        <v>136</v>
      </c>
      <c r="C17" s="21" t="s">
        <v>137</v>
      </c>
      <c r="D17" s="17" t="s">
        <v>68</v>
      </c>
      <c r="E17" s="22">
        <v>1</v>
      </c>
      <c r="F17" s="22">
        <v>2</v>
      </c>
      <c r="G17" s="22">
        <v>3</v>
      </c>
      <c r="H17" s="30">
        <f>SUM(E17:G17)</f>
        <v>6</v>
      </c>
      <c r="I17" s="28"/>
      <c r="J17" s="19" t="str">
        <f>IF(I17="","",H17*I17)</f>
        <v/>
      </c>
      <c r="K17" s="29"/>
      <c r="L17" s="29"/>
      <c r="M17" s="29"/>
      <c r="N17" s="29"/>
    </row>
    <row r="18" spans="1:14" x14ac:dyDescent="0.3">
      <c r="A18" s="17" t="s">
        <v>138</v>
      </c>
      <c r="B18" s="5" t="s">
        <v>139</v>
      </c>
      <c r="C18" s="21" t="s">
        <v>137</v>
      </c>
      <c r="D18" s="17" t="s">
        <v>68</v>
      </c>
      <c r="E18" s="22" t="s">
        <v>115</v>
      </c>
      <c r="F18" s="22">
        <v>2</v>
      </c>
      <c r="G18" s="22">
        <v>3</v>
      </c>
      <c r="H18" s="30">
        <f>SUM(E18:G18)</f>
        <v>5</v>
      </c>
      <c r="I18" s="28"/>
      <c r="J18" s="19" t="str">
        <f>IF(I18="","",H18*I18)</f>
        <v/>
      </c>
      <c r="K18" s="29"/>
      <c r="L18" s="29"/>
      <c r="M18" s="29"/>
      <c r="N18" s="29"/>
    </row>
    <row r="19" spans="1:14" x14ac:dyDescent="0.3">
      <c r="A19" s="17" t="s">
        <v>140</v>
      </c>
      <c r="B19" s="5" t="s">
        <v>141</v>
      </c>
      <c r="C19" s="21" t="s">
        <v>137</v>
      </c>
      <c r="D19" s="17" t="s">
        <v>68</v>
      </c>
      <c r="E19" s="22">
        <v>1</v>
      </c>
      <c r="F19" s="22" t="s">
        <v>115</v>
      </c>
      <c r="G19" s="22">
        <v>1</v>
      </c>
      <c r="H19" s="30">
        <f>SUM(E19:G19)</f>
        <v>2</v>
      </c>
      <c r="I19" s="28"/>
      <c r="J19" s="19" t="str">
        <f>IF(I19="","",H19*I19)</f>
        <v/>
      </c>
      <c r="K19" s="29"/>
      <c r="L19" s="29"/>
      <c r="M19" s="29"/>
      <c r="N19" s="29"/>
    </row>
    <row r="20" spans="1:14" ht="22.8" x14ac:dyDescent="0.3">
      <c r="A20" s="17" t="s">
        <v>142</v>
      </c>
      <c r="B20" s="5" t="s">
        <v>143</v>
      </c>
      <c r="C20" s="21" t="s">
        <v>144</v>
      </c>
      <c r="D20" s="17" t="s">
        <v>68</v>
      </c>
      <c r="E20" s="22" t="s">
        <v>115</v>
      </c>
      <c r="F20" s="22">
        <v>1</v>
      </c>
      <c r="G20" s="22">
        <v>1</v>
      </c>
      <c r="H20" s="30">
        <f>SUM(E20:G20)</f>
        <v>2</v>
      </c>
      <c r="I20" s="28"/>
      <c r="J20" s="19" t="str">
        <f>IF(I20="","",H20*I20)</f>
        <v/>
      </c>
      <c r="K20" s="29"/>
      <c r="L20" s="29"/>
      <c r="M20" s="29"/>
      <c r="N20" s="29"/>
    </row>
    <row r="21" spans="1:14" ht="92.4" x14ac:dyDescent="0.3">
      <c r="A21" s="6" t="s">
        <v>145</v>
      </c>
      <c r="B21" s="7"/>
      <c r="C21" s="7"/>
      <c r="D21" s="7"/>
      <c r="E21" s="7"/>
      <c r="F21" s="7"/>
      <c r="G21" s="7"/>
      <c r="H21" s="7"/>
      <c r="I21" s="7"/>
      <c r="J21" s="7"/>
      <c r="K21" s="7"/>
      <c r="L21" s="7"/>
      <c r="M21" s="7"/>
      <c r="N21" s="7"/>
    </row>
    <row r="22" spans="1:14" ht="26.4" x14ac:dyDescent="0.3">
      <c r="A22" s="17" t="s">
        <v>146</v>
      </c>
      <c r="B22" s="16" t="s">
        <v>147</v>
      </c>
      <c r="C22" s="21" t="s">
        <v>148</v>
      </c>
      <c r="D22" s="17" t="s">
        <v>68</v>
      </c>
      <c r="E22" s="22">
        <v>1</v>
      </c>
      <c r="F22" s="22">
        <v>53</v>
      </c>
      <c r="G22" s="22">
        <v>30</v>
      </c>
      <c r="H22" s="30">
        <f>SUM(E22:G22)</f>
        <v>84</v>
      </c>
      <c r="I22" s="28"/>
      <c r="J22" s="19" t="str">
        <f>IF(I22="","",H22*I22)</f>
        <v/>
      </c>
      <c r="K22" s="29"/>
      <c r="L22" s="29"/>
      <c r="M22" s="29"/>
      <c r="N22" s="29"/>
    </row>
    <row r="23" spans="1:14" ht="26.4" x14ac:dyDescent="0.3">
      <c r="A23" s="17" t="s">
        <v>149</v>
      </c>
      <c r="B23" s="5" t="s">
        <v>150</v>
      </c>
      <c r="C23" s="21" t="s">
        <v>151</v>
      </c>
      <c r="D23" s="17" t="s">
        <v>68</v>
      </c>
      <c r="E23" s="22">
        <v>2</v>
      </c>
      <c r="F23" s="22">
        <v>7</v>
      </c>
      <c r="G23" s="22">
        <v>6</v>
      </c>
      <c r="H23" s="30">
        <f>SUM(E23:G23)</f>
        <v>15</v>
      </c>
      <c r="I23" s="28"/>
      <c r="J23" s="19" t="str">
        <f>IF(I23="","",H23*I23)</f>
        <v/>
      </c>
      <c r="K23" s="29"/>
      <c r="L23" s="29"/>
      <c r="M23" s="29"/>
      <c r="N23" s="29"/>
    </row>
    <row r="24" spans="1:14" ht="26.4" x14ac:dyDescent="0.3">
      <c r="A24" s="17" t="s">
        <v>152</v>
      </c>
      <c r="B24" s="16" t="s">
        <v>153</v>
      </c>
      <c r="C24" s="21" t="s">
        <v>154</v>
      </c>
      <c r="D24" s="17" t="s">
        <v>68</v>
      </c>
      <c r="E24" s="22">
        <v>3</v>
      </c>
      <c r="F24" s="22">
        <v>4</v>
      </c>
      <c r="G24" s="22">
        <v>7</v>
      </c>
      <c r="H24" s="30">
        <f>SUM(E24:G24)</f>
        <v>14</v>
      </c>
      <c r="I24" s="28"/>
      <c r="J24" s="19" t="str">
        <f>IF(I24="","",H24*I24)</f>
        <v/>
      </c>
      <c r="K24" s="29"/>
      <c r="L24" s="29"/>
      <c r="M24" s="29"/>
      <c r="N24" s="29"/>
    </row>
    <row r="25" spans="1:14" ht="26.4" x14ac:dyDescent="0.3">
      <c r="A25" s="17" t="s">
        <v>155</v>
      </c>
      <c r="B25" s="5" t="s">
        <v>156</v>
      </c>
      <c r="C25" s="21" t="s">
        <v>154</v>
      </c>
      <c r="D25" s="17" t="s">
        <v>68</v>
      </c>
      <c r="E25" s="22" t="s">
        <v>115</v>
      </c>
      <c r="F25" s="22">
        <v>3</v>
      </c>
      <c r="G25" s="22" t="s">
        <v>115</v>
      </c>
      <c r="H25" s="30">
        <f>SUM(E25:G25)</f>
        <v>3</v>
      </c>
      <c r="I25" s="28"/>
      <c r="J25" s="19" t="str">
        <f>IF(I25="","",H25*I25)</f>
        <v/>
      </c>
      <c r="K25" s="29"/>
      <c r="L25" s="29"/>
      <c r="M25" s="29"/>
      <c r="N25" s="29"/>
    </row>
    <row r="26" spans="1:14" x14ac:dyDescent="0.3">
      <c r="A26" s="17" t="s">
        <v>157</v>
      </c>
      <c r="B26" s="5" t="s">
        <v>158</v>
      </c>
      <c r="C26" s="21" t="s">
        <v>159</v>
      </c>
      <c r="D26" s="17" t="s">
        <v>68</v>
      </c>
      <c r="E26" s="22" t="s">
        <v>115</v>
      </c>
      <c r="F26" s="22">
        <v>1</v>
      </c>
      <c r="G26" s="22">
        <v>2</v>
      </c>
      <c r="H26" s="30">
        <f>SUM(E26:G26)</f>
        <v>3</v>
      </c>
      <c r="I26" s="28"/>
      <c r="J26" s="19" t="str">
        <f>IF(I26="","",H26*I26)</f>
        <v/>
      </c>
      <c r="K26" s="29"/>
      <c r="L26" s="29"/>
      <c r="M26" s="29"/>
      <c r="N26" s="29"/>
    </row>
    <row r="27" spans="1:14" ht="92.4" x14ac:dyDescent="0.3">
      <c r="A27" s="6" t="s">
        <v>160</v>
      </c>
      <c r="B27" s="7"/>
      <c r="C27" s="7"/>
      <c r="D27" s="7"/>
      <c r="E27" s="7"/>
      <c r="F27" s="7"/>
      <c r="G27" s="7"/>
      <c r="H27" s="7"/>
      <c r="I27" s="7"/>
      <c r="J27" s="7"/>
      <c r="K27" s="7"/>
      <c r="L27" s="7"/>
      <c r="M27" s="7"/>
      <c r="N27" s="7"/>
    </row>
    <row r="28" spans="1:14" x14ac:dyDescent="0.3">
      <c r="A28" s="17" t="s">
        <v>161</v>
      </c>
      <c r="B28" s="5" t="s">
        <v>162</v>
      </c>
      <c r="C28" s="21" t="s">
        <v>163</v>
      </c>
      <c r="D28" s="17" t="s">
        <v>68</v>
      </c>
      <c r="E28" s="22" t="s">
        <v>115</v>
      </c>
      <c r="F28" s="22">
        <v>6</v>
      </c>
      <c r="G28" s="22">
        <v>7</v>
      </c>
      <c r="H28" s="30">
        <f>SUM(E28:G28)</f>
        <v>13</v>
      </c>
      <c r="I28" s="28"/>
      <c r="J28" s="19" t="str">
        <f>IF(I28="","",H28*I28)</f>
        <v/>
      </c>
      <c r="K28" s="29"/>
      <c r="L28" s="29"/>
      <c r="M28" s="29"/>
      <c r="N28" s="29"/>
    </row>
    <row r="29" spans="1:14" x14ac:dyDescent="0.3">
      <c r="A29" s="17" t="s">
        <v>164</v>
      </c>
      <c r="B29" s="5" t="s">
        <v>165</v>
      </c>
      <c r="C29" s="21" t="s">
        <v>163</v>
      </c>
      <c r="D29" s="17" t="s">
        <v>68</v>
      </c>
      <c r="E29" s="22" t="s">
        <v>115</v>
      </c>
      <c r="F29" s="22">
        <v>7</v>
      </c>
      <c r="G29" s="22">
        <v>12</v>
      </c>
      <c r="H29" s="30">
        <f>SUM(E29:G29)</f>
        <v>19</v>
      </c>
      <c r="I29" s="28"/>
      <c r="J29" s="19" t="str">
        <f>IF(I29="","",H29*I29)</f>
        <v/>
      </c>
      <c r="K29" s="29"/>
      <c r="L29" s="29"/>
      <c r="M29" s="29"/>
      <c r="N29" s="29"/>
    </row>
    <row r="30" spans="1:14" x14ac:dyDescent="0.3">
      <c r="A30" s="17" t="s">
        <v>166</v>
      </c>
      <c r="B30" s="5" t="s">
        <v>167</v>
      </c>
      <c r="C30" s="21" t="s">
        <v>163</v>
      </c>
      <c r="D30" s="17" t="s">
        <v>68</v>
      </c>
      <c r="E30" s="22" t="s">
        <v>115</v>
      </c>
      <c r="F30" s="22">
        <v>13</v>
      </c>
      <c r="G30" s="22">
        <v>6</v>
      </c>
      <c r="H30" s="30">
        <f>SUM(E30:G30)</f>
        <v>19</v>
      </c>
      <c r="I30" s="28"/>
      <c r="J30" s="19" t="str">
        <f>IF(I30="","",H30*I30)</f>
        <v/>
      </c>
      <c r="K30" s="29"/>
      <c r="L30" s="29"/>
      <c r="M30" s="29"/>
      <c r="N30" s="29"/>
    </row>
    <row r="31" spans="1:14" x14ac:dyDescent="0.3">
      <c r="A31" s="17" t="s">
        <v>168</v>
      </c>
      <c r="B31" s="5" t="s">
        <v>169</v>
      </c>
      <c r="C31" s="21" t="s">
        <v>170</v>
      </c>
      <c r="D31" s="17" t="s">
        <v>68</v>
      </c>
      <c r="E31" s="22" t="s">
        <v>115</v>
      </c>
      <c r="F31" s="22">
        <v>44</v>
      </c>
      <c r="G31" s="22">
        <v>39</v>
      </c>
      <c r="H31" s="30">
        <f>SUM(E31:G31)</f>
        <v>83</v>
      </c>
      <c r="I31" s="28"/>
      <c r="J31" s="19" t="str">
        <f>IF(I31="","",H31*I31)</f>
        <v/>
      </c>
      <c r="K31" s="29"/>
      <c r="L31" s="29"/>
      <c r="M31" s="29"/>
      <c r="N31" s="29"/>
    </row>
    <row r="32" spans="1:14" x14ac:dyDescent="0.3">
      <c r="A32" s="24"/>
      <c r="B32" s="23" t="s">
        <v>171</v>
      </c>
      <c r="C32" s="24"/>
      <c r="D32" s="24"/>
      <c r="E32" s="24"/>
      <c r="F32" s="24"/>
      <c r="G32" s="24"/>
      <c r="H32" s="24"/>
      <c r="I32" s="24"/>
      <c r="J32" s="31">
        <f>SUM(J6:J31)</f>
        <v>0</v>
      </c>
      <c r="K32" s="24"/>
      <c r="L32" s="24"/>
      <c r="M32" s="24"/>
      <c r="N32" s="24"/>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5"/>
  <sheetViews>
    <sheetView showGridLines="0" zoomScaleNormal="100" workbookViewId="0">
      <pane ySplit="5" topLeftCell="A6" activePane="bottomLeft" state="frozen"/>
      <selection pane="bottomLeft"/>
    </sheetView>
  </sheetViews>
  <sheetFormatPr defaultColWidth="8.6640625" defaultRowHeight="14.4" x14ac:dyDescent="0.3"/>
  <cols>
    <col min="1" max="1" width="7" customWidth="1"/>
    <col min="2" max="2" width="42" customWidth="1"/>
    <col min="3" max="3" width="34" customWidth="1"/>
    <col min="4" max="4" width="6" customWidth="1"/>
    <col min="5" max="8" width="11" customWidth="1"/>
    <col min="9" max="9" width="14" customWidth="1"/>
    <col min="10" max="10" width="15" customWidth="1"/>
    <col min="11" max="11" width="13" customWidth="1"/>
    <col min="12" max="12" width="11" customWidth="1"/>
    <col min="13" max="13" width="15" customWidth="1"/>
    <col min="14" max="14" width="34" customWidth="1"/>
  </cols>
  <sheetData>
    <row r="1" spans="1:14" ht="17.399999999999999" x14ac:dyDescent="0.3">
      <c r="A1" s="1" t="s">
        <v>172</v>
      </c>
    </row>
    <row r="2" spans="1:14" x14ac:dyDescent="0.3">
      <c r="A2" s="3" t="s">
        <v>97</v>
      </c>
    </row>
    <row r="5" spans="1:14" ht="42" customHeight="1" x14ac:dyDescent="0.3">
      <c r="A5" s="26" t="s">
        <v>58</v>
      </c>
      <c r="B5" s="26" t="s">
        <v>99</v>
      </c>
      <c r="C5" s="26" t="s">
        <v>100</v>
      </c>
      <c r="D5" s="26" t="s">
        <v>59</v>
      </c>
      <c r="E5" s="26" t="s">
        <v>101</v>
      </c>
      <c r="F5" s="26" t="s">
        <v>102</v>
      </c>
      <c r="G5" s="26" t="s">
        <v>103</v>
      </c>
      <c r="H5" s="26" t="s">
        <v>104</v>
      </c>
      <c r="I5" s="26" t="s">
        <v>105</v>
      </c>
      <c r="J5" s="26" t="s">
        <v>106</v>
      </c>
      <c r="K5" s="26" t="s">
        <v>107</v>
      </c>
      <c r="L5" s="26" t="s">
        <v>108</v>
      </c>
      <c r="M5" s="26" t="s">
        <v>109</v>
      </c>
      <c r="N5" s="26" t="s">
        <v>110</v>
      </c>
    </row>
    <row r="6" spans="1:14" ht="224.4" x14ac:dyDescent="0.3">
      <c r="A6" s="6" t="s">
        <v>173</v>
      </c>
      <c r="B6" s="7"/>
      <c r="C6" s="7"/>
      <c r="D6" s="7"/>
      <c r="E6" s="7"/>
      <c r="F6" s="7"/>
      <c r="G6" s="7"/>
      <c r="H6" s="7"/>
      <c r="I6" s="7"/>
      <c r="J6" s="7"/>
      <c r="K6" s="7"/>
      <c r="L6" s="7"/>
      <c r="M6" s="7"/>
      <c r="N6" s="7"/>
    </row>
    <row r="7" spans="1:14" ht="26.4" x14ac:dyDescent="0.3">
      <c r="A7" s="17" t="s">
        <v>174</v>
      </c>
      <c r="B7" s="5" t="s">
        <v>175</v>
      </c>
      <c r="C7" s="21" t="s">
        <v>176</v>
      </c>
      <c r="D7" s="17" t="s">
        <v>68</v>
      </c>
      <c r="E7" s="22" t="s">
        <v>115</v>
      </c>
      <c r="F7" s="22">
        <v>51</v>
      </c>
      <c r="G7" s="22">
        <v>33</v>
      </c>
      <c r="H7" s="30">
        <f t="shared" ref="H7:H12" si="0">SUM(E7:G7)</f>
        <v>84</v>
      </c>
      <c r="I7" s="28"/>
      <c r="J7" s="19" t="str">
        <f t="shared" ref="J7:J12" si="1">IF(I7="","",H7*I7)</f>
        <v/>
      </c>
      <c r="K7" s="29"/>
      <c r="L7" s="29"/>
      <c r="M7" s="29"/>
      <c r="N7" s="29"/>
    </row>
    <row r="8" spans="1:14" x14ac:dyDescent="0.3">
      <c r="A8" s="17" t="s">
        <v>177</v>
      </c>
      <c r="B8" s="5" t="s">
        <v>178</v>
      </c>
      <c r="C8" s="21" t="s">
        <v>179</v>
      </c>
      <c r="D8" s="17" t="s">
        <v>68</v>
      </c>
      <c r="E8" s="22" t="s">
        <v>115</v>
      </c>
      <c r="F8" s="22">
        <v>93</v>
      </c>
      <c r="G8" s="22">
        <v>51</v>
      </c>
      <c r="H8" s="30">
        <f t="shared" si="0"/>
        <v>144</v>
      </c>
      <c r="I8" s="28"/>
      <c r="J8" s="19" t="str">
        <f t="shared" si="1"/>
        <v/>
      </c>
      <c r="K8" s="29"/>
      <c r="L8" s="29"/>
      <c r="M8" s="29"/>
      <c r="N8" s="29"/>
    </row>
    <row r="9" spans="1:14" ht="26.4" x14ac:dyDescent="0.3">
      <c r="A9" s="17" t="s">
        <v>180</v>
      </c>
      <c r="B9" s="5" t="s">
        <v>181</v>
      </c>
      <c r="C9" s="21" t="s">
        <v>182</v>
      </c>
      <c r="D9" s="17" t="s">
        <v>68</v>
      </c>
      <c r="E9" s="22" t="s">
        <v>115</v>
      </c>
      <c r="F9" s="22">
        <v>42</v>
      </c>
      <c r="G9" s="22" t="s">
        <v>115</v>
      </c>
      <c r="H9" s="30">
        <f t="shared" si="0"/>
        <v>42</v>
      </c>
      <c r="I9" s="28"/>
      <c r="J9" s="19" t="str">
        <f t="shared" si="1"/>
        <v/>
      </c>
      <c r="K9" s="29"/>
      <c r="L9" s="29"/>
      <c r="M9" s="29"/>
      <c r="N9" s="29"/>
    </row>
    <row r="10" spans="1:14" ht="26.4" x14ac:dyDescent="0.3">
      <c r="A10" s="17" t="s">
        <v>183</v>
      </c>
      <c r="B10" s="5" t="s">
        <v>184</v>
      </c>
      <c r="C10" s="21" t="s">
        <v>185</v>
      </c>
      <c r="D10" s="17" t="s">
        <v>68</v>
      </c>
      <c r="E10" s="22" t="s">
        <v>115</v>
      </c>
      <c r="F10" s="22">
        <v>51</v>
      </c>
      <c r="G10" s="22">
        <v>33</v>
      </c>
      <c r="H10" s="30">
        <f t="shared" si="0"/>
        <v>84</v>
      </c>
      <c r="I10" s="28"/>
      <c r="J10" s="19" t="str">
        <f t="shared" si="1"/>
        <v/>
      </c>
      <c r="K10" s="29"/>
      <c r="L10" s="29"/>
      <c r="M10" s="29"/>
      <c r="N10" s="29"/>
    </row>
    <row r="11" spans="1:14" ht="26.4" x14ac:dyDescent="0.3">
      <c r="A11" s="17" t="s">
        <v>186</v>
      </c>
      <c r="B11" s="5" t="s">
        <v>187</v>
      </c>
      <c r="C11" s="21" t="s">
        <v>188</v>
      </c>
      <c r="D11" s="17" t="s">
        <v>68</v>
      </c>
      <c r="E11" s="22" t="s">
        <v>115</v>
      </c>
      <c r="F11" s="22">
        <v>51</v>
      </c>
      <c r="G11" s="22">
        <v>33</v>
      </c>
      <c r="H11" s="30">
        <f t="shared" si="0"/>
        <v>84</v>
      </c>
      <c r="I11" s="28"/>
      <c r="J11" s="19" t="str">
        <f t="shared" si="1"/>
        <v/>
      </c>
      <c r="K11" s="29"/>
      <c r="L11" s="29"/>
      <c r="M11" s="29"/>
      <c r="N11" s="29"/>
    </row>
    <row r="12" spans="1:14" ht="22.8" x14ac:dyDescent="0.3">
      <c r="A12" s="17" t="s">
        <v>189</v>
      </c>
      <c r="B12" s="5" t="s">
        <v>190</v>
      </c>
      <c r="C12" s="21" t="s">
        <v>191</v>
      </c>
      <c r="D12" s="17" t="s">
        <v>68</v>
      </c>
      <c r="E12" s="22" t="s">
        <v>115</v>
      </c>
      <c r="F12" s="22">
        <v>51</v>
      </c>
      <c r="G12" s="22">
        <v>33</v>
      </c>
      <c r="H12" s="30">
        <f t="shared" si="0"/>
        <v>84</v>
      </c>
      <c r="I12" s="28"/>
      <c r="J12" s="19" t="str">
        <f t="shared" si="1"/>
        <v/>
      </c>
      <c r="K12" s="29"/>
      <c r="L12" s="29"/>
      <c r="M12" s="29"/>
      <c r="N12" s="29"/>
    </row>
    <row r="13" spans="1:14" ht="52.8" x14ac:dyDescent="0.3">
      <c r="A13" s="6" t="s">
        <v>192</v>
      </c>
      <c r="B13" s="7"/>
      <c r="C13" s="7"/>
      <c r="D13" s="7"/>
      <c r="E13" s="7"/>
      <c r="F13" s="7"/>
      <c r="G13" s="7"/>
      <c r="H13" s="7"/>
      <c r="I13" s="7"/>
      <c r="J13" s="7"/>
      <c r="K13" s="7"/>
      <c r="L13" s="7"/>
      <c r="M13" s="7"/>
      <c r="N13" s="7"/>
    </row>
    <row r="14" spans="1:14" ht="22.8" x14ac:dyDescent="0.3">
      <c r="A14" s="17" t="s">
        <v>193</v>
      </c>
      <c r="B14" s="16" t="s">
        <v>194</v>
      </c>
      <c r="C14" s="21" t="s">
        <v>195</v>
      </c>
      <c r="D14" s="17" t="s">
        <v>68</v>
      </c>
      <c r="E14" s="22" t="s">
        <v>115</v>
      </c>
      <c r="F14" s="22">
        <v>10</v>
      </c>
      <c r="G14" s="22">
        <v>11</v>
      </c>
      <c r="H14" s="30">
        <f>SUM(E14:G14)</f>
        <v>21</v>
      </c>
      <c r="I14" s="28"/>
      <c r="J14" s="19" t="str">
        <f>IF(I14="","",H14*I14)</f>
        <v/>
      </c>
      <c r="K14" s="29"/>
      <c r="L14" s="29"/>
      <c r="M14" s="29"/>
      <c r="N14" s="29"/>
    </row>
    <row r="15" spans="1:14" x14ac:dyDescent="0.3">
      <c r="A15" s="24"/>
      <c r="B15" s="23" t="s">
        <v>171</v>
      </c>
      <c r="C15" s="24"/>
      <c r="D15" s="24"/>
      <c r="E15" s="24"/>
      <c r="F15" s="24"/>
      <c r="G15" s="24"/>
      <c r="H15" s="24"/>
      <c r="I15" s="24"/>
      <c r="J15" s="31">
        <f>SUM(J6:J14)</f>
        <v>0</v>
      </c>
      <c r="K15" s="24"/>
      <c r="L15" s="24"/>
      <c r="M15" s="24"/>
      <c r="N15" s="24"/>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27"/>
  <sheetViews>
    <sheetView showGridLines="0" zoomScaleNormal="100" workbookViewId="0">
      <pane ySplit="5" topLeftCell="A6" activePane="bottomLeft" state="frozen"/>
      <selection pane="bottomLeft"/>
    </sheetView>
  </sheetViews>
  <sheetFormatPr defaultColWidth="8.6640625" defaultRowHeight="14.4" x14ac:dyDescent="0.3"/>
  <cols>
    <col min="1" max="1" width="7" customWidth="1"/>
    <col min="2" max="2" width="42" customWidth="1"/>
    <col min="3" max="3" width="34" customWidth="1"/>
    <col min="4" max="4" width="6" customWidth="1"/>
    <col min="5" max="8" width="11" customWidth="1"/>
    <col min="9" max="9" width="14" customWidth="1"/>
    <col min="10" max="10" width="15" customWidth="1"/>
    <col min="11" max="11" width="13" customWidth="1"/>
    <col min="12" max="12" width="11" customWidth="1"/>
    <col min="13" max="13" width="15" customWidth="1"/>
    <col min="14" max="14" width="34" customWidth="1"/>
  </cols>
  <sheetData>
    <row r="1" spans="1:14" ht="17.399999999999999" x14ac:dyDescent="0.3">
      <c r="A1" s="1" t="s">
        <v>196</v>
      </c>
    </row>
    <row r="2" spans="1:14" x14ac:dyDescent="0.3">
      <c r="A2" s="3" t="s">
        <v>97</v>
      </c>
    </row>
    <row r="5" spans="1:14" ht="42" customHeight="1" x14ac:dyDescent="0.3">
      <c r="A5" s="26" t="s">
        <v>58</v>
      </c>
      <c r="B5" s="26" t="s">
        <v>99</v>
      </c>
      <c r="C5" s="26" t="s">
        <v>100</v>
      </c>
      <c r="D5" s="26" t="s">
        <v>59</v>
      </c>
      <c r="E5" s="26" t="s">
        <v>101</v>
      </c>
      <c r="F5" s="26" t="s">
        <v>102</v>
      </c>
      <c r="G5" s="26" t="s">
        <v>103</v>
      </c>
      <c r="H5" s="26" t="s">
        <v>104</v>
      </c>
      <c r="I5" s="26" t="s">
        <v>105</v>
      </c>
      <c r="J5" s="26" t="s">
        <v>106</v>
      </c>
      <c r="K5" s="26" t="s">
        <v>107</v>
      </c>
      <c r="L5" s="26" t="s">
        <v>108</v>
      </c>
      <c r="M5" s="26" t="s">
        <v>109</v>
      </c>
      <c r="N5" s="26" t="s">
        <v>110</v>
      </c>
    </row>
    <row r="6" spans="1:14" ht="184.8" x14ac:dyDescent="0.3">
      <c r="A6" s="6" t="s">
        <v>197</v>
      </c>
      <c r="B6" s="7"/>
      <c r="C6" s="7"/>
      <c r="D6" s="7"/>
      <c r="E6" s="7"/>
      <c r="F6" s="7"/>
      <c r="G6" s="7"/>
      <c r="H6" s="7"/>
      <c r="I6" s="7"/>
      <c r="J6" s="7"/>
      <c r="K6" s="7"/>
      <c r="L6" s="7"/>
      <c r="M6" s="7"/>
      <c r="N6" s="7"/>
    </row>
    <row r="7" spans="1:14" ht="22.8" x14ac:dyDescent="0.3">
      <c r="A7" s="17" t="s">
        <v>198</v>
      </c>
      <c r="B7" s="5" t="s">
        <v>199</v>
      </c>
      <c r="C7" s="21" t="s">
        <v>200</v>
      </c>
      <c r="D7" s="17" t="s">
        <v>65</v>
      </c>
      <c r="E7" s="18">
        <v>34.817999999999998</v>
      </c>
      <c r="F7" s="18">
        <v>584.495</v>
      </c>
      <c r="G7" s="18">
        <v>465.798</v>
      </c>
      <c r="H7" s="27">
        <f>SUM(E7:G7)</f>
        <v>1085.1109999999999</v>
      </c>
      <c r="I7" s="28"/>
      <c r="J7" s="19" t="str">
        <f>IF(I7="","",H7*I7)</f>
        <v/>
      </c>
      <c r="K7" s="29"/>
      <c r="L7" s="29"/>
      <c r="M7" s="29"/>
      <c r="N7" s="29"/>
    </row>
    <row r="8" spans="1:14" ht="22.8" x14ac:dyDescent="0.3">
      <c r="A8" s="17" t="s">
        <v>201</v>
      </c>
      <c r="B8" s="5" t="s">
        <v>202</v>
      </c>
      <c r="C8" s="21" t="s">
        <v>200</v>
      </c>
      <c r="D8" s="17" t="s">
        <v>65</v>
      </c>
      <c r="E8" s="18" t="s">
        <v>115</v>
      </c>
      <c r="F8" s="18">
        <v>180.51900000000001</v>
      </c>
      <c r="G8" s="18">
        <v>197.61199999999999</v>
      </c>
      <c r="H8" s="27">
        <f>SUM(E8:G8)</f>
        <v>378.13099999999997</v>
      </c>
      <c r="I8" s="28"/>
      <c r="J8" s="19" t="str">
        <f>IF(I8="","",H8*I8)</f>
        <v/>
      </c>
      <c r="K8" s="29"/>
      <c r="L8" s="29"/>
      <c r="M8" s="29"/>
      <c r="N8" s="29"/>
    </row>
    <row r="9" spans="1:14" ht="22.8" x14ac:dyDescent="0.3">
      <c r="A9" s="17" t="s">
        <v>203</v>
      </c>
      <c r="B9" s="16" t="s">
        <v>204</v>
      </c>
      <c r="C9" s="21" t="s">
        <v>200</v>
      </c>
      <c r="D9" s="17" t="s">
        <v>65</v>
      </c>
      <c r="E9" s="18" t="s">
        <v>115</v>
      </c>
      <c r="F9" s="18">
        <v>311.42</v>
      </c>
      <c r="G9" s="18">
        <v>44.728999999999999</v>
      </c>
      <c r="H9" s="27">
        <f>SUM(E9:G9)</f>
        <v>356.149</v>
      </c>
      <c r="I9" s="28"/>
      <c r="J9" s="19" t="str">
        <f>IF(I9="","",H9*I9)</f>
        <v/>
      </c>
      <c r="K9" s="29"/>
      <c r="L9" s="29"/>
      <c r="M9" s="29"/>
      <c r="N9" s="29"/>
    </row>
    <row r="10" spans="1:14" ht="22.8" x14ac:dyDescent="0.3">
      <c r="A10" s="17" t="s">
        <v>205</v>
      </c>
      <c r="B10" s="5" t="s">
        <v>206</v>
      </c>
      <c r="C10" s="21" t="s">
        <v>200</v>
      </c>
      <c r="D10" s="17" t="s">
        <v>65</v>
      </c>
      <c r="E10" s="18" t="s">
        <v>115</v>
      </c>
      <c r="F10" s="18">
        <v>308.971</v>
      </c>
      <c r="G10" s="18">
        <v>203.959</v>
      </c>
      <c r="H10" s="27">
        <f>SUM(E10:G10)</f>
        <v>512.93000000000006</v>
      </c>
      <c r="I10" s="28"/>
      <c r="J10" s="19" t="str">
        <f>IF(I10="","",H10*I10)</f>
        <v/>
      </c>
      <c r="K10" s="29"/>
      <c r="L10" s="29"/>
      <c r="M10" s="29"/>
      <c r="N10" s="29"/>
    </row>
    <row r="11" spans="1:14" ht="118.8" x14ac:dyDescent="0.3">
      <c r="A11" s="6" t="s">
        <v>207</v>
      </c>
      <c r="B11" s="7"/>
      <c r="C11" s="7"/>
      <c r="D11" s="7"/>
      <c r="E11" s="7"/>
      <c r="F11" s="7"/>
      <c r="G11" s="7"/>
      <c r="H11" s="7"/>
      <c r="I11" s="7"/>
      <c r="J11" s="7"/>
      <c r="K11" s="7"/>
      <c r="L11" s="7"/>
      <c r="M11" s="7"/>
      <c r="N11" s="7"/>
    </row>
    <row r="12" spans="1:14" x14ac:dyDescent="0.3">
      <c r="A12" s="17" t="s">
        <v>208</v>
      </c>
      <c r="B12" s="5" t="s">
        <v>209</v>
      </c>
      <c r="C12" s="21" t="s">
        <v>210</v>
      </c>
      <c r="D12" s="17" t="s">
        <v>65</v>
      </c>
      <c r="E12" s="18" t="s">
        <v>115</v>
      </c>
      <c r="F12" s="18">
        <v>2104</v>
      </c>
      <c r="G12" s="18">
        <v>1730</v>
      </c>
      <c r="H12" s="27">
        <f>SUM(E12:G12)</f>
        <v>3834</v>
      </c>
      <c r="I12" s="28"/>
      <c r="J12" s="19" t="str">
        <f>IF(I12="","",H12*I12)</f>
        <v/>
      </c>
      <c r="K12" s="29"/>
      <c r="L12" s="29"/>
      <c r="M12" s="29"/>
      <c r="N12" s="29"/>
    </row>
    <row r="13" spans="1:14" x14ac:dyDescent="0.3">
      <c r="A13" s="17" t="s">
        <v>211</v>
      </c>
      <c r="B13" s="5" t="s">
        <v>212</v>
      </c>
      <c r="C13" s="21" t="s">
        <v>210</v>
      </c>
      <c r="D13" s="17" t="s">
        <v>65</v>
      </c>
      <c r="E13" s="18" t="s">
        <v>115</v>
      </c>
      <c r="F13" s="18">
        <v>621</v>
      </c>
      <c r="G13" s="18" t="s">
        <v>115</v>
      </c>
      <c r="H13" s="27">
        <f>SUM(E13:G13)</f>
        <v>621</v>
      </c>
      <c r="I13" s="28"/>
      <c r="J13" s="19" t="str">
        <f>IF(I13="","",H13*I13)</f>
        <v/>
      </c>
      <c r="K13" s="29"/>
      <c r="L13" s="29"/>
      <c r="M13" s="29"/>
      <c r="N13" s="29"/>
    </row>
    <row r="14" spans="1:14" ht="26.4" x14ac:dyDescent="0.3">
      <c r="A14" s="17" t="s">
        <v>213</v>
      </c>
      <c r="B14" s="5" t="s">
        <v>214</v>
      </c>
      <c r="C14" s="21" t="s">
        <v>215</v>
      </c>
      <c r="D14" s="17" t="s">
        <v>68</v>
      </c>
      <c r="E14" s="22" t="s">
        <v>115</v>
      </c>
      <c r="F14" s="22">
        <v>86</v>
      </c>
      <c r="G14" s="22">
        <v>65</v>
      </c>
      <c r="H14" s="30">
        <f>SUM(E14:G14)</f>
        <v>151</v>
      </c>
      <c r="I14" s="28"/>
      <c r="J14" s="19" t="str">
        <f>IF(I14="","",H14*I14)</f>
        <v/>
      </c>
      <c r="K14" s="29"/>
      <c r="L14" s="29"/>
      <c r="M14" s="29"/>
      <c r="N14" s="29"/>
    </row>
    <row r="15" spans="1:14" ht="26.4" x14ac:dyDescent="0.3">
      <c r="A15" s="17" t="s">
        <v>216</v>
      </c>
      <c r="B15" s="5" t="s">
        <v>217</v>
      </c>
      <c r="C15" s="21" t="s">
        <v>218</v>
      </c>
      <c r="D15" s="17" t="s">
        <v>68</v>
      </c>
      <c r="E15" s="22" t="s">
        <v>115</v>
      </c>
      <c r="F15" s="22">
        <v>17</v>
      </c>
      <c r="G15" s="22">
        <v>29</v>
      </c>
      <c r="H15" s="30">
        <f>SUM(E15:G15)</f>
        <v>46</v>
      </c>
      <c r="I15" s="28"/>
      <c r="J15" s="19" t="str">
        <f>IF(I15="","",H15*I15)</f>
        <v/>
      </c>
      <c r="K15" s="29"/>
      <c r="L15" s="29"/>
      <c r="M15" s="29"/>
      <c r="N15" s="29"/>
    </row>
    <row r="16" spans="1:14" ht="105.6" x14ac:dyDescent="0.3">
      <c r="A16" s="6" t="s">
        <v>219</v>
      </c>
      <c r="B16" s="7"/>
      <c r="C16" s="7"/>
      <c r="D16" s="7"/>
      <c r="E16" s="7"/>
      <c r="F16" s="7"/>
      <c r="G16" s="7"/>
      <c r="H16" s="7"/>
      <c r="I16" s="7"/>
      <c r="J16" s="7"/>
      <c r="K16" s="7"/>
      <c r="L16" s="7"/>
      <c r="M16" s="7"/>
      <c r="N16" s="7"/>
    </row>
    <row r="17" spans="1:14" x14ac:dyDescent="0.3">
      <c r="A17" s="17" t="s">
        <v>220</v>
      </c>
      <c r="B17" s="5" t="s">
        <v>221</v>
      </c>
      <c r="C17" s="21" t="s">
        <v>222</v>
      </c>
      <c r="D17" s="17" t="s">
        <v>65</v>
      </c>
      <c r="E17" s="18" t="s">
        <v>115</v>
      </c>
      <c r="F17" s="18">
        <v>126.33</v>
      </c>
      <c r="G17" s="18">
        <v>45.326000000000001</v>
      </c>
      <c r="H17" s="27">
        <f t="shared" ref="H17:H22" si="0">SUM(E17:G17)</f>
        <v>171.65600000000001</v>
      </c>
      <c r="I17" s="28"/>
      <c r="J17" s="19" t="str">
        <f t="shared" ref="J17:J22" si="1">IF(I17="","",H17*I17)</f>
        <v/>
      </c>
      <c r="K17" s="29"/>
      <c r="L17" s="29"/>
      <c r="M17" s="29"/>
      <c r="N17" s="29"/>
    </row>
    <row r="18" spans="1:14" x14ac:dyDescent="0.3">
      <c r="A18" s="17" t="s">
        <v>223</v>
      </c>
      <c r="B18" s="5" t="s">
        <v>224</v>
      </c>
      <c r="C18" s="21" t="s">
        <v>222</v>
      </c>
      <c r="D18" s="17" t="s">
        <v>65</v>
      </c>
      <c r="E18" s="18" t="s">
        <v>115</v>
      </c>
      <c r="F18" s="18">
        <v>122.869</v>
      </c>
      <c r="G18" s="18">
        <v>40.484000000000002</v>
      </c>
      <c r="H18" s="27">
        <f t="shared" si="0"/>
        <v>163.35300000000001</v>
      </c>
      <c r="I18" s="28"/>
      <c r="J18" s="19" t="str">
        <f t="shared" si="1"/>
        <v/>
      </c>
      <c r="K18" s="29"/>
      <c r="L18" s="29"/>
      <c r="M18" s="29"/>
      <c r="N18" s="29"/>
    </row>
    <row r="19" spans="1:14" x14ac:dyDescent="0.3">
      <c r="A19" s="17" t="s">
        <v>225</v>
      </c>
      <c r="B19" s="5" t="s">
        <v>226</v>
      </c>
      <c r="C19" s="21" t="s">
        <v>222</v>
      </c>
      <c r="D19" s="17" t="s">
        <v>65</v>
      </c>
      <c r="E19" s="18" t="s">
        <v>115</v>
      </c>
      <c r="F19" s="18">
        <v>134.23099999999999</v>
      </c>
      <c r="G19" s="18">
        <v>325.36500000000001</v>
      </c>
      <c r="H19" s="27">
        <f t="shared" si="0"/>
        <v>459.596</v>
      </c>
      <c r="I19" s="28"/>
      <c r="J19" s="19" t="str">
        <f t="shared" si="1"/>
        <v/>
      </c>
      <c r="K19" s="29"/>
      <c r="L19" s="29"/>
      <c r="M19" s="29"/>
      <c r="N19" s="29"/>
    </row>
    <row r="20" spans="1:14" x14ac:dyDescent="0.3">
      <c r="A20" s="17" t="s">
        <v>227</v>
      </c>
      <c r="B20" s="5" t="s">
        <v>228</v>
      </c>
      <c r="C20" s="21" t="s">
        <v>222</v>
      </c>
      <c r="D20" s="17" t="s">
        <v>65</v>
      </c>
      <c r="E20" s="18" t="s">
        <v>115</v>
      </c>
      <c r="F20" s="18">
        <v>250.37</v>
      </c>
      <c r="G20" s="18">
        <v>55.158999999999999</v>
      </c>
      <c r="H20" s="27">
        <f t="shared" si="0"/>
        <v>305.529</v>
      </c>
      <c r="I20" s="28"/>
      <c r="J20" s="19" t="str">
        <f t="shared" si="1"/>
        <v/>
      </c>
      <c r="K20" s="29"/>
      <c r="L20" s="29"/>
      <c r="M20" s="29"/>
      <c r="N20" s="29"/>
    </row>
    <row r="21" spans="1:14" ht="26.4" x14ac:dyDescent="0.3">
      <c r="A21" s="17" t="s">
        <v>229</v>
      </c>
      <c r="B21" s="5" t="s">
        <v>230</v>
      </c>
      <c r="C21" s="21" t="s">
        <v>170</v>
      </c>
      <c r="D21" s="17" t="s">
        <v>65</v>
      </c>
      <c r="E21" s="18" t="s">
        <v>115</v>
      </c>
      <c r="F21" s="18">
        <v>264</v>
      </c>
      <c r="G21" s="18">
        <v>234</v>
      </c>
      <c r="H21" s="27">
        <f t="shared" si="0"/>
        <v>498</v>
      </c>
      <c r="I21" s="28"/>
      <c r="J21" s="19" t="str">
        <f t="shared" si="1"/>
        <v/>
      </c>
      <c r="K21" s="29"/>
      <c r="L21" s="29"/>
      <c r="M21" s="29"/>
      <c r="N21" s="29"/>
    </row>
    <row r="22" spans="1:14" x14ac:dyDescent="0.3">
      <c r="A22" s="17" t="s">
        <v>231</v>
      </c>
      <c r="B22" s="5" t="s">
        <v>232</v>
      </c>
      <c r="C22" s="21" t="s">
        <v>233</v>
      </c>
      <c r="D22" s="17" t="s">
        <v>68</v>
      </c>
      <c r="E22" s="22" t="s">
        <v>115</v>
      </c>
      <c r="F22" s="22">
        <v>26</v>
      </c>
      <c r="G22" s="22">
        <v>25</v>
      </c>
      <c r="H22" s="30">
        <f t="shared" si="0"/>
        <v>51</v>
      </c>
      <c r="I22" s="28"/>
      <c r="J22" s="19" t="str">
        <f t="shared" si="1"/>
        <v/>
      </c>
      <c r="K22" s="29"/>
      <c r="L22" s="29"/>
      <c r="M22" s="29"/>
      <c r="N22" s="29"/>
    </row>
    <row r="23" spans="1:14" ht="105.6" x14ac:dyDescent="0.3">
      <c r="A23" s="6" t="s">
        <v>234</v>
      </c>
      <c r="B23" s="7"/>
      <c r="C23" s="7"/>
      <c r="D23" s="7"/>
      <c r="E23" s="7"/>
      <c r="F23" s="7"/>
      <c r="G23" s="7"/>
      <c r="H23" s="7"/>
      <c r="I23" s="7"/>
      <c r="J23" s="7"/>
      <c r="K23" s="7"/>
      <c r="L23" s="7"/>
      <c r="M23" s="7"/>
      <c r="N23" s="7"/>
    </row>
    <row r="24" spans="1:14" ht="22.8" x14ac:dyDescent="0.3">
      <c r="A24" s="17" t="s">
        <v>235</v>
      </c>
      <c r="B24" s="16" t="s">
        <v>236</v>
      </c>
      <c r="C24" s="21" t="s">
        <v>237</v>
      </c>
      <c r="D24" s="17" t="s">
        <v>65</v>
      </c>
      <c r="E24" s="18" t="s">
        <v>115</v>
      </c>
      <c r="F24" s="18" t="s">
        <v>115</v>
      </c>
      <c r="G24" s="18">
        <v>2346</v>
      </c>
      <c r="H24" s="27">
        <f>SUM(E24:G24)</f>
        <v>2346</v>
      </c>
      <c r="I24" s="28"/>
      <c r="J24" s="19" t="str">
        <f>IF(I24="","",H24*I24)</f>
        <v/>
      </c>
      <c r="K24" s="29"/>
      <c r="L24" s="29"/>
      <c r="M24" s="29"/>
      <c r="N24" s="29"/>
    </row>
    <row r="25" spans="1:14" ht="22.8" x14ac:dyDescent="0.3">
      <c r="A25" s="17" t="s">
        <v>238</v>
      </c>
      <c r="B25" s="5" t="s">
        <v>239</v>
      </c>
      <c r="C25" s="21" t="s">
        <v>240</v>
      </c>
      <c r="D25" s="17" t="s">
        <v>68</v>
      </c>
      <c r="E25" s="22" t="s">
        <v>115</v>
      </c>
      <c r="F25" s="22">
        <v>8</v>
      </c>
      <c r="G25" s="22">
        <v>56.92</v>
      </c>
      <c r="H25" s="30">
        <f>SUM(E25:G25)</f>
        <v>64.92</v>
      </c>
      <c r="I25" s="28"/>
      <c r="J25" s="19" t="str">
        <f>IF(I25="","",H25*I25)</f>
        <v/>
      </c>
      <c r="K25" s="29"/>
      <c r="L25" s="29"/>
      <c r="M25" s="29"/>
      <c r="N25" s="29"/>
    </row>
    <row r="26" spans="1:14" ht="26.4" x14ac:dyDescent="0.3">
      <c r="A26" s="17" t="s">
        <v>241</v>
      </c>
      <c r="B26" s="5" t="s">
        <v>242</v>
      </c>
      <c r="C26" s="21" t="s">
        <v>243</v>
      </c>
      <c r="D26" s="17" t="s">
        <v>65</v>
      </c>
      <c r="E26" s="18" t="s">
        <v>115</v>
      </c>
      <c r="F26" s="18">
        <v>133</v>
      </c>
      <c r="G26" s="18">
        <v>121</v>
      </c>
      <c r="H26" s="27">
        <f>SUM(E26:G26)</f>
        <v>254</v>
      </c>
      <c r="I26" s="28"/>
      <c r="J26" s="19" t="str">
        <f>IF(I26="","",H26*I26)</f>
        <v/>
      </c>
      <c r="K26" s="29"/>
      <c r="L26" s="29"/>
      <c r="M26" s="29"/>
      <c r="N26" s="29"/>
    </row>
    <row r="27" spans="1:14" x14ac:dyDescent="0.3">
      <c r="A27" s="24"/>
      <c r="B27" s="23" t="s">
        <v>171</v>
      </c>
      <c r="C27" s="24"/>
      <c r="D27" s="24"/>
      <c r="E27" s="24"/>
      <c r="F27" s="24"/>
      <c r="G27" s="24"/>
      <c r="H27" s="24"/>
      <c r="I27" s="24"/>
      <c r="J27" s="31">
        <f>SUM(J6:J26)</f>
        <v>0</v>
      </c>
      <c r="K27" s="24"/>
      <c r="L27" s="24"/>
      <c r="M27" s="24"/>
      <c r="N27" s="24"/>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43"/>
  <sheetViews>
    <sheetView showGridLines="0" zoomScaleNormal="100" workbookViewId="0">
      <pane ySplit="5" topLeftCell="A6" activePane="bottomLeft" state="frozen"/>
      <selection pane="bottomLeft"/>
    </sheetView>
  </sheetViews>
  <sheetFormatPr defaultColWidth="8.6640625" defaultRowHeight="14.4" x14ac:dyDescent="0.3"/>
  <cols>
    <col min="1" max="1" width="7" customWidth="1"/>
    <col min="2" max="2" width="42" customWidth="1"/>
    <col min="3" max="3" width="34" customWidth="1"/>
    <col min="4" max="4" width="6" customWidth="1"/>
    <col min="5" max="8" width="11" customWidth="1"/>
    <col min="9" max="9" width="14" customWidth="1"/>
    <col min="10" max="10" width="15" customWidth="1"/>
    <col min="11" max="11" width="13" customWidth="1"/>
    <col min="12" max="12" width="11" customWidth="1"/>
    <col min="13" max="13" width="15" customWidth="1"/>
    <col min="14" max="14" width="34" customWidth="1"/>
  </cols>
  <sheetData>
    <row r="1" spans="1:14" ht="17.399999999999999" x14ac:dyDescent="0.3">
      <c r="A1" s="1" t="s">
        <v>244</v>
      </c>
    </row>
    <row r="2" spans="1:14" x14ac:dyDescent="0.3">
      <c r="A2" s="3" t="s">
        <v>97</v>
      </c>
    </row>
    <row r="3" spans="1:14" x14ac:dyDescent="0.3">
      <c r="A3" s="12" t="s">
        <v>245</v>
      </c>
    </row>
    <row r="5" spans="1:14" ht="42" customHeight="1" x14ac:dyDescent="0.3">
      <c r="A5" s="26" t="s">
        <v>58</v>
      </c>
      <c r="B5" s="26" t="s">
        <v>99</v>
      </c>
      <c r="C5" s="26" t="s">
        <v>100</v>
      </c>
      <c r="D5" s="26" t="s">
        <v>59</v>
      </c>
      <c r="E5" s="26" t="s">
        <v>101</v>
      </c>
      <c r="F5" s="26" t="s">
        <v>102</v>
      </c>
      <c r="G5" s="26" t="s">
        <v>103</v>
      </c>
      <c r="H5" s="26" t="s">
        <v>104</v>
      </c>
      <c r="I5" s="26" t="s">
        <v>105</v>
      </c>
      <c r="J5" s="26" t="s">
        <v>106</v>
      </c>
      <c r="K5" s="26" t="s">
        <v>107</v>
      </c>
      <c r="L5" s="26" t="s">
        <v>108</v>
      </c>
      <c r="M5" s="26" t="s">
        <v>109</v>
      </c>
      <c r="N5" s="26" t="s">
        <v>110</v>
      </c>
    </row>
    <row r="6" spans="1:14" ht="158.4" x14ac:dyDescent="0.3">
      <c r="A6" s="6" t="s">
        <v>246</v>
      </c>
      <c r="B6" s="7"/>
      <c r="C6" s="7"/>
      <c r="D6" s="7"/>
      <c r="E6" s="7"/>
      <c r="F6" s="7"/>
      <c r="G6" s="7"/>
      <c r="H6" s="7"/>
      <c r="I6" s="7"/>
      <c r="J6" s="7"/>
      <c r="K6" s="7"/>
      <c r="L6" s="7"/>
      <c r="M6" s="7"/>
      <c r="N6" s="7"/>
    </row>
    <row r="7" spans="1:14" x14ac:dyDescent="0.3">
      <c r="A7" s="17" t="s">
        <v>247</v>
      </c>
      <c r="B7" s="5" t="s">
        <v>248</v>
      </c>
      <c r="C7" s="21" t="s">
        <v>249</v>
      </c>
      <c r="D7" s="17" t="s">
        <v>65</v>
      </c>
      <c r="E7" s="18" t="s">
        <v>115</v>
      </c>
      <c r="F7" s="18">
        <v>83</v>
      </c>
      <c r="G7" s="18">
        <v>188</v>
      </c>
      <c r="H7" s="27">
        <f>SUM(E7:G7)</f>
        <v>271</v>
      </c>
      <c r="I7" s="28"/>
      <c r="J7" s="19" t="str">
        <f>IF(I7="","",H7*I7)</f>
        <v/>
      </c>
      <c r="K7" s="29"/>
      <c r="L7" s="29"/>
      <c r="M7" s="29"/>
      <c r="N7" s="29"/>
    </row>
    <row r="8" spans="1:14" x14ac:dyDescent="0.3">
      <c r="A8" s="17" t="s">
        <v>250</v>
      </c>
      <c r="B8" s="5" t="s">
        <v>251</v>
      </c>
      <c r="C8" s="21" t="s">
        <v>252</v>
      </c>
      <c r="D8" s="17" t="s">
        <v>65</v>
      </c>
      <c r="E8" s="18" t="s">
        <v>115</v>
      </c>
      <c r="F8" s="18">
        <v>668</v>
      </c>
      <c r="G8" s="18">
        <v>693</v>
      </c>
      <c r="H8" s="27">
        <f>SUM(E8:G8)</f>
        <v>1361</v>
      </c>
      <c r="I8" s="28"/>
      <c r="J8" s="19" t="str">
        <f>IF(I8="","",H8*I8)</f>
        <v/>
      </c>
      <c r="K8" s="29"/>
      <c r="L8" s="29"/>
      <c r="M8" s="29"/>
      <c r="N8" s="29"/>
    </row>
    <row r="9" spans="1:14" x14ac:dyDescent="0.3">
      <c r="A9" s="17" t="s">
        <v>253</v>
      </c>
      <c r="B9" s="5" t="s">
        <v>254</v>
      </c>
      <c r="C9" s="21" t="s">
        <v>255</v>
      </c>
      <c r="D9" s="17" t="s">
        <v>65</v>
      </c>
      <c r="E9" s="18" t="s">
        <v>115</v>
      </c>
      <c r="F9" s="18">
        <v>322</v>
      </c>
      <c r="G9" s="18" t="s">
        <v>115</v>
      </c>
      <c r="H9" s="27">
        <f>SUM(E9:G9)</f>
        <v>322</v>
      </c>
      <c r="I9" s="28"/>
      <c r="J9" s="19" t="str">
        <f>IF(I9="","",H9*I9)</f>
        <v/>
      </c>
      <c r="K9" s="29"/>
      <c r="L9" s="29"/>
      <c r="M9" s="29"/>
      <c r="N9" s="29"/>
    </row>
    <row r="10" spans="1:14" x14ac:dyDescent="0.3">
      <c r="A10" s="17" t="s">
        <v>256</v>
      </c>
      <c r="B10" s="16" t="s">
        <v>257</v>
      </c>
      <c r="C10" s="21" t="s">
        <v>255</v>
      </c>
      <c r="D10" s="17" t="s">
        <v>65</v>
      </c>
      <c r="E10" s="18">
        <v>471</v>
      </c>
      <c r="F10" s="18">
        <v>1778</v>
      </c>
      <c r="G10" s="18" t="s">
        <v>115</v>
      </c>
      <c r="H10" s="27">
        <f>SUM(E10:G10)</f>
        <v>2249</v>
      </c>
      <c r="I10" s="28"/>
      <c r="J10" s="19" t="str">
        <f>IF(I10="","",H10*I10)</f>
        <v/>
      </c>
      <c r="K10" s="29"/>
      <c r="L10" s="29"/>
      <c r="M10" s="29"/>
      <c r="N10" s="29"/>
    </row>
    <row r="11" spans="1:14" ht="92.4" x14ac:dyDescent="0.3">
      <c r="A11" s="6" t="s">
        <v>258</v>
      </c>
      <c r="B11" s="7"/>
      <c r="C11" s="7"/>
      <c r="D11" s="7"/>
      <c r="E11" s="7"/>
      <c r="F11" s="7"/>
      <c r="G11" s="7"/>
      <c r="H11" s="7"/>
      <c r="I11" s="7"/>
      <c r="J11" s="7"/>
      <c r="K11" s="7"/>
      <c r="L11" s="7"/>
      <c r="M11" s="7"/>
      <c r="N11" s="7"/>
    </row>
    <row r="12" spans="1:14" ht="22.8" x14ac:dyDescent="0.3">
      <c r="A12" s="17" t="s">
        <v>259</v>
      </c>
      <c r="B12" s="5" t="s">
        <v>260</v>
      </c>
      <c r="C12" s="21" t="s">
        <v>261</v>
      </c>
      <c r="D12" s="17" t="s">
        <v>68</v>
      </c>
      <c r="E12" s="22" t="s">
        <v>115</v>
      </c>
      <c r="F12" s="22">
        <v>9</v>
      </c>
      <c r="G12" s="22">
        <v>10</v>
      </c>
      <c r="H12" s="30">
        <f t="shared" ref="H12:H17" si="0">SUM(E12:G12)</f>
        <v>19</v>
      </c>
      <c r="I12" s="28"/>
      <c r="J12" s="19" t="str">
        <f t="shared" ref="J12:J17" si="1">IF(I12="","",H12*I12)</f>
        <v/>
      </c>
      <c r="K12" s="29"/>
      <c r="L12" s="29"/>
      <c r="M12" s="29"/>
      <c r="N12" s="29"/>
    </row>
    <row r="13" spans="1:14" x14ac:dyDescent="0.3">
      <c r="A13" s="17" t="s">
        <v>262</v>
      </c>
      <c r="B13" s="5" t="s">
        <v>263</v>
      </c>
      <c r="C13" s="21" t="s">
        <v>264</v>
      </c>
      <c r="D13" s="17" t="s">
        <v>68</v>
      </c>
      <c r="E13" s="22" t="s">
        <v>115</v>
      </c>
      <c r="F13" s="22">
        <v>3</v>
      </c>
      <c r="G13" s="22" t="s">
        <v>115</v>
      </c>
      <c r="H13" s="30">
        <f t="shared" si="0"/>
        <v>3</v>
      </c>
      <c r="I13" s="28"/>
      <c r="J13" s="19" t="str">
        <f t="shared" si="1"/>
        <v/>
      </c>
      <c r="K13" s="29"/>
      <c r="L13" s="29"/>
      <c r="M13" s="29"/>
      <c r="N13" s="29"/>
    </row>
    <row r="14" spans="1:14" x14ac:dyDescent="0.3">
      <c r="A14" s="17" t="s">
        <v>265</v>
      </c>
      <c r="B14" s="16" t="s">
        <v>266</v>
      </c>
      <c r="C14" s="21" t="s">
        <v>264</v>
      </c>
      <c r="D14" s="17" t="s">
        <v>68</v>
      </c>
      <c r="E14" s="22">
        <v>4</v>
      </c>
      <c r="F14" s="22">
        <v>33</v>
      </c>
      <c r="G14" s="22" t="s">
        <v>115</v>
      </c>
      <c r="H14" s="30">
        <f t="shared" si="0"/>
        <v>37</v>
      </c>
      <c r="I14" s="28"/>
      <c r="J14" s="19" t="str">
        <f t="shared" si="1"/>
        <v/>
      </c>
      <c r="K14" s="29"/>
      <c r="L14" s="29"/>
      <c r="M14" s="29"/>
      <c r="N14" s="29"/>
    </row>
    <row r="15" spans="1:14" x14ac:dyDescent="0.3">
      <c r="A15" s="17" t="s">
        <v>267</v>
      </c>
      <c r="B15" s="5" t="s">
        <v>268</v>
      </c>
      <c r="C15" s="21" t="s">
        <v>269</v>
      </c>
      <c r="D15" s="17" t="s">
        <v>68</v>
      </c>
      <c r="E15" s="22" t="s">
        <v>115</v>
      </c>
      <c r="F15" s="22">
        <v>7</v>
      </c>
      <c r="G15" s="22" t="s">
        <v>115</v>
      </c>
      <c r="H15" s="30">
        <f t="shared" si="0"/>
        <v>7</v>
      </c>
      <c r="I15" s="28"/>
      <c r="J15" s="19" t="str">
        <f t="shared" si="1"/>
        <v/>
      </c>
      <c r="K15" s="29"/>
      <c r="L15" s="29"/>
      <c r="M15" s="29"/>
      <c r="N15" s="29"/>
    </row>
    <row r="16" spans="1:14" x14ac:dyDescent="0.3">
      <c r="A16" s="17" t="s">
        <v>270</v>
      </c>
      <c r="B16" s="5" t="s">
        <v>271</v>
      </c>
      <c r="C16" s="21" t="s">
        <v>269</v>
      </c>
      <c r="D16" s="17" t="s">
        <v>68</v>
      </c>
      <c r="E16" s="22" t="s">
        <v>115</v>
      </c>
      <c r="F16" s="22">
        <v>1</v>
      </c>
      <c r="G16" s="22" t="s">
        <v>115</v>
      </c>
      <c r="H16" s="30">
        <f t="shared" si="0"/>
        <v>1</v>
      </c>
      <c r="I16" s="28"/>
      <c r="J16" s="19" t="str">
        <f t="shared" si="1"/>
        <v/>
      </c>
      <c r="K16" s="29"/>
      <c r="L16" s="29"/>
      <c r="M16" s="29"/>
      <c r="N16" s="29"/>
    </row>
    <row r="17" spans="1:14" x14ac:dyDescent="0.3">
      <c r="A17" s="17" t="s">
        <v>272</v>
      </c>
      <c r="B17" s="5" t="s">
        <v>273</v>
      </c>
      <c r="C17" s="21" t="s">
        <v>269</v>
      </c>
      <c r="D17" s="17" t="s">
        <v>68</v>
      </c>
      <c r="E17" s="22">
        <v>1</v>
      </c>
      <c r="F17" s="22" t="s">
        <v>115</v>
      </c>
      <c r="G17" s="22" t="s">
        <v>115</v>
      </c>
      <c r="H17" s="30">
        <f t="shared" si="0"/>
        <v>1</v>
      </c>
      <c r="I17" s="28"/>
      <c r="J17" s="19" t="str">
        <f t="shared" si="1"/>
        <v/>
      </c>
      <c r="K17" s="29"/>
      <c r="L17" s="29"/>
      <c r="M17" s="29"/>
      <c r="N17" s="29"/>
    </row>
    <row r="18" spans="1:14" ht="92.4" x14ac:dyDescent="0.3">
      <c r="A18" s="6" t="s">
        <v>274</v>
      </c>
      <c r="B18" s="7"/>
      <c r="C18" s="7"/>
      <c r="D18" s="7"/>
      <c r="E18" s="7"/>
      <c r="F18" s="7"/>
      <c r="G18" s="7"/>
      <c r="H18" s="7"/>
      <c r="I18" s="7"/>
      <c r="J18" s="7"/>
      <c r="K18" s="7"/>
      <c r="L18" s="7"/>
      <c r="M18" s="7"/>
      <c r="N18" s="7"/>
    </row>
    <row r="19" spans="1:14" ht="22.8" x14ac:dyDescent="0.3">
      <c r="A19" s="17" t="s">
        <v>275</v>
      </c>
      <c r="B19" s="5" t="s">
        <v>276</v>
      </c>
      <c r="C19" s="21" t="s">
        <v>277</v>
      </c>
      <c r="D19" s="17" t="s">
        <v>68</v>
      </c>
      <c r="E19" s="22" t="s">
        <v>115</v>
      </c>
      <c r="F19" s="22">
        <v>12</v>
      </c>
      <c r="G19" s="22">
        <v>3</v>
      </c>
      <c r="H19" s="30">
        <f>SUM(E19:G19)</f>
        <v>15</v>
      </c>
      <c r="I19" s="28"/>
      <c r="J19" s="19" t="str">
        <f>IF(I19="","",H19*I19)</f>
        <v/>
      </c>
      <c r="K19" s="29"/>
      <c r="L19" s="29"/>
      <c r="M19" s="29"/>
      <c r="N19" s="29"/>
    </row>
    <row r="20" spans="1:14" x14ac:dyDescent="0.3">
      <c r="A20" s="17" t="s">
        <v>278</v>
      </c>
      <c r="B20" s="5" t="s">
        <v>279</v>
      </c>
      <c r="C20" s="21" t="s">
        <v>280</v>
      </c>
      <c r="D20" s="17" t="s">
        <v>68</v>
      </c>
      <c r="E20" s="22" t="s">
        <v>115</v>
      </c>
      <c r="F20" s="22">
        <v>5</v>
      </c>
      <c r="G20" s="22" t="s">
        <v>115</v>
      </c>
      <c r="H20" s="30">
        <f>SUM(E20:G20)</f>
        <v>5</v>
      </c>
      <c r="I20" s="28"/>
      <c r="J20" s="19" t="str">
        <f>IF(I20="","",H20*I20)</f>
        <v/>
      </c>
      <c r="K20" s="29"/>
      <c r="L20" s="29"/>
      <c r="M20" s="29"/>
      <c r="N20" s="29"/>
    </row>
    <row r="21" spans="1:14" x14ac:dyDescent="0.3">
      <c r="A21" s="17" t="s">
        <v>281</v>
      </c>
      <c r="B21" s="5" t="s">
        <v>282</v>
      </c>
      <c r="C21" s="21" t="s">
        <v>280</v>
      </c>
      <c r="D21" s="17" t="s">
        <v>68</v>
      </c>
      <c r="E21" s="22">
        <v>3</v>
      </c>
      <c r="F21" s="22">
        <v>9</v>
      </c>
      <c r="G21" s="22" t="s">
        <v>115</v>
      </c>
      <c r="H21" s="30">
        <f>SUM(E21:G21)</f>
        <v>12</v>
      </c>
      <c r="I21" s="28"/>
      <c r="J21" s="19" t="str">
        <f>IF(I21="","",H21*I21)</f>
        <v/>
      </c>
      <c r="K21" s="29"/>
      <c r="L21" s="29"/>
      <c r="M21" s="29"/>
      <c r="N21" s="29"/>
    </row>
    <row r="22" spans="1:14" ht="22.8" x14ac:dyDescent="0.3">
      <c r="A22" s="17" t="s">
        <v>283</v>
      </c>
      <c r="B22" s="5" t="s">
        <v>284</v>
      </c>
      <c r="C22" s="21" t="s">
        <v>285</v>
      </c>
      <c r="D22" s="17" t="s">
        <v>68</v>
      </c>
      <c r="E22" s="22" t="s">
        <v>115</v>
      </c>
      <c r="F22" s="22">
        <v>1</v>
      </c>
      <c r="G22" s="22" t="s">
        <v>115</v>
      </c>
      <c r="H22" s="30">
        <f>SUM(E22:G22)</f>
        <v>1</v>
      </c>
      <c r="I22" s="28"/>
      <c r="J22" s="19" t="str">
        <f>IF(I22="","",H22*I22)</f>
        <v/>
      </c>
      <c r="K22" s="29"/>
      <c r="L22" s="29"/>
      <c r="M22" s="29"/>
      <c r="N22" s="29"/>
    </row>
    <row r="23" spans="1:14" x14ac:dyDescent="0.3">
      <c r="A23" s="17" t="s">
        <v>286</v>
      </c>
      <c r="B23" s="5" t="s">
        <v>287</v>
      </c>
      <c r="C23" s="21" t="s">
        <v>288</v>
      </c>
      <c r="D23" s="17" t="s">
        <v>68</v>
      </c>
      <c r="E23" s="22">
        <v>1</v>
      </c>
      <c r="F23" s="22" t="s">
        <v>115</v>
      </c>
      <c r="G23" s="22" t="s">
        <v>115</v>
      </c>
      <c r="H23" s="30">
        <f>SUM(E23:G23)</f>
        <v>1</v>
      </c>
      <c r="I23" s="28"/>
      <c r="J23" s="19" t="str">
        <f>IF(I23="","",H23*I23)</f>
        <v/>
      </c>
      <c r="K23" s="29"/>
      <c r="L23" s="29"/>
      <c r="M23" s="29"/>
      <c r="N23" s="29"/>
    </row>
    <row r="24" spans="1:14" ht="39.6" x14ac:dyDescent="0.3">
      <c r="A24" s="6" t="s">
        <v>289</v>
      </c>
      <c r="B24" s="7"/>
      <c r="C24" s="7"/>
      <c r="D24" s="7"/>
      <c r="E24" s="7"/>
      <c r="F24" s="7"/>
      <c r="G24" s="7"/>
      <c r="H24" s="7"/>
      <c r="I24" s="7"/>
      <c r="J24" s="7"/>
      <c r="K24" s="7"/>
      <c r="L24" s="7"/>
      <c r="M24" s="7"/>
      <c r="N24" s="7"/>
    </row>
    <row r="25" spans="1:14" x14ac:dyDescent="0.3">
      <c r="A25" s="17" t="s">
        <v>290</v>
      </c>
      <c r="B25" s="5" t="s">
        <v>291</v>
      </c>
      <c r="C25" s="21" t="s">
        <v>292</v>
      </c>
      <c r="D25" s="17" t="s">
        <v>68</v>
      </c>
      <c r="E25" s="22" t="s">
        <v>115</v>
      </c>
      <c r="F25" s="22">
        <v>1</v>
      </c>
      <c r="G25" s="22">
        <v>1</v>
      </c>
      <c r="H25" s="30">
        <f t="shared" ref="H25:H37" si="2">SUM(E25:G25)</f>
        <v>2</v>
      </c>
      <c r="I25" s="28"/>
      <c r="J25" s="19" t="str">
        <f t="shared" ref="J25:J37" si="3">IF(I25="","",H25*I25)</f>
        <v/>
      </c>
      <c r="K25" s="29"/>
      <c r="L25" s="29"/>
      <c r="M25" s="29"/>
      <c r="N25" s="29"/>
    </row>
    <row r="26" spans="1:14" x14ac:dyDescent="0.3">
      <c r="A26" s="17" t="s">
        <v>293</v>
      </c>
      <c r="B26" s="5" t="s">
        <v>294</v>
      </c>
      <c r="C26" s="21" t="s">
        <v>292</v>
      </c>
      <c r="D26" s="17" t="s">
        <v>68</v>
      </c>
      <c r="E26" s="22" t="s">
        <v>115</v>
      </c>
      <c r="F26" s="22">
        <v>5</v>
      </c>
      <c r="G26" s="22" t="s">
        <v>115</v>
      </c>
      <c r="H26" s="30">
        <f t="shared" si="2"/>
        <v>5</v>
      </c>
      <c r="I26" s="28"/>
      <c r="J26" s="19" t="str">
        <f t="shared" si="3"/>
        <v/>
      </c>
      <c r="K26" s="29"/>
      <c r="L26" s="29"/>
      <c r="M26" s="29"/>
      <c r="N26" s="29"/>
    </row>
    <row r="27" spans="1:14" x14ac:dyDescent="0.3">
      <c r="A27" s="17" t="s">
        <v>295</v>
      </c>
      <c r="B27" s="5" t="s">
        <v>296</v>
      </c>
      <c r="C27" s="21" t="s">
        <v>292</v>
      </c>
      <c r="D27" s="17" t="s">
        <v>68</v>
      </c>
      <c r="E27" s="22">
        <v>1</v>
      </c>
      <c r="F27" s="22">
        <v>4</v>
      </c>
      <c r="G27" s="22" t="s">
        <v>115</v>
      </c>
      <c r="H27" s="30">
        <f t="shared" si="2"/>
        <v>5</v>
      </c>
      <c r="I27" s="28"/>
      <c r="J27" s="19" t="str">
        <f t="shared" si="3"/>
        <v/>
      </c>
      <c r="K27" s="29"/>
      <c r="L27" s="29"/>
      <c r="M27" s="29"/>
      <c r="N27" s="29"/>
    </row>
    <row r="28" spans="1:14" x14ac:dyDescent="0.3">
      <c r="A28" s="17" t="s">
        <v>297</v>
      </c>
      <c r="B28" s="5" t="s">
        <v>298</v>
      </c>
      <c r="C28" s="21" t="s">
        <v>292</v>
      </c>
      <c r="D28" s="17" t="s">
        <v>68</v>
      </c>
      <c r="E28" s="22" t="s">
        <v>115</v>
      </c>
      <c r="F28" s="22">
        <v>6</v>
      </c>
      <c r="G28" s="22" t="s">
        <v>115</v>
      </c>
      <c r="H28" s="30">
        <f t="shared" si="2"/>
        <v>6</v>
      </c>
      <c r="I28" s="28"/>
      <c r="J28" s="19" t="str">
        <f t="shared" si="3"/>
        <v/>
      </c>
      <c r="K28" s="29"/>
      <c r="L28" s="29"/>
      <c r="M28" s="29"/>
      <c r="N28" s="29"/>
    </row>
    <row r="29" spans="1:14" ht="22.8" x14ac:dyDescent="0.3">
      <c r="A29" s="17" t="s">
        <v>299</v>
      </c>
      <c r="B29" s="5" t="s">
        <v>300</v>
      </c>
      <c r="C29" s="21" t="s">
        <v>301</v>
      </c>
      <c r="D29" s="17" t="s">
        <v>68</v>
      </c>
      <c r="E29" s="22" t="s">
        <v>115</v>
      </c>
      <c r="F29" s="22">
        <v>13</v>
      </c>
      <c r="G29" s="22">
        <v>9</v>
      </c>
      <c r="H29" s="30">
        <f t="shared" si="2"/>
        <v>22</v>
      </c>
      <c r="I29" s="28"/>
      <c r="J29" s="19" t="str">
        <f t="shared" si="3"/>
        <v/>
      </c>
      <c r="K29" s="29"/>
      <c r="L29" s="29"/>
      <c r="M29" s="29"/>
      <c r="N29" s="29"/>
    </row>
    <row r="30" spans="1:14" x14ac:dyDescent="0.3">
      <c r="A30" s="17" t="s">
        <v>302</v>
      </c>
      <c r="B30" s="5" t="s">
        <v>303</v>
      </c>
      <c r="C30" s="21" t="s">
        <v>304</v>
      </c>
      <c r="D30" s="17" t="s">
        <v>68</v>
      </c>
      <c r="E30" s="22" t="s">
        <v>115</v>
      </c>
      <c r="F30" s="22">
        <v>12</v>
      </c>
      <c r="G30" s="22" t="s">
        <v>115</v>
      </c>
      <c r="H30" s="30">
        <f t="shared" si="2"/>
        <v>12</v>
      </c>
      <c r="I30" s="28"/>
      <c r="J30" s="19" t="str">
        <f t="shared" si="3"/>
        <v/>
      </c>
      <c r="K30" s="29"/>
      <c r="L30" s="29"/>
      <c r="M30" s="29"/>
      <c r="N30" s="29"/>
    </row>
    <row r="31" spans="1:14" x14ac:dyDescent="0.3">
      <c r="A31" s="17" t="s">
        <v>305</v>
      </c>
      <c r="B31" s="5" t="s">
        <v>306</v>
      </c>
      <c r="C31" s="21" t="s">
        <v>304</v>
      </c>
      <c r="D31" s="17" t="s">
        <v>68</v>
      </c>
      <c r="E31" s="22">
        <v>12</v>
      </c>
      <c r="F31" s="22">
        <v>39</v>
      </c>
      <c r="G31" s="22" t="s">
        <v>115</v>
      </c>
      <c r="H31" s="30">
        <f t="shared" si="2"/>
        <v>51</v>
      </c>
      <c r="I31" s="28"/>
      <c r="J31" s="19" t="str">
        <f t="shared" si="3"/>
        <v/>
      </c>
      <c r="K31" s="29"/>
      <c r="L31" s="29"/>
      <c r="M31" s="29"/>
      <c r="N31" s="29"/>
    </row>
    <row r="32" spans="1:14" x14ac:dyDescent="0.3">
      <c r="A32" s="17" t="s">
        <v>307</v>
      </c>
      <c r="B32" s="5" t="s">
        <v>308</v>
      </c>
      <c r="C32" s="21" t="s">
        <v>309</v>
      </c>
      <c r="D32" s="17" t="s">
        <v>68</v>
      </c>
      <c r="E32" s="22" t="s">
        <v>115</v>
      </c>
      <c r="F32" s="22">
        <v>24</v>
      </c>
      <c r="G32" s="22">
        <v>43</v>
      </c>
      <c r="H32" s="30">
        <f t="shared" si="2"/>
        <v>67</v>
      </c>
      <c r="I32" s="28"/>
      <c r="J32" s="19" t="str">
        <f t="shared" si="3"/>
        <v/>
      </c>
      <c r="K32" s="29"/>
      <c r="L32" s="29"/>
      <c r="M32" s="29"/>
      <c r="N32" s="29"/>
    </row>
    <row r="33" spans="1:14" x14ac:dyDescent="0.3">
      <c r="A33" s="17" t="s">
        <v>310</v>
      </c>
      <c r="B33" s="5" t="s">
        <v>311</v>
      </c>
      <c r="C33" s="21" t="s">
        <v>309</v>
      </c>
      <c r="D33" s="17" t="s">
        <v>68</v>
      </c>
      <c r="E33" s="22" t="s">
        <v>115</v>
      </c>
      <c r="F33" s="22">
        <v>7</v>
      </c>
      <c r="G33" s="22" t="s">
        <v>115</v>
      </c>
      <c r="H33" s="30">
        <f t="shared" si="2"/>
        <v>7</v>
      </c>
      <c r="I33" s="28"/>
      <c r="J33" s="19" t="str">
        <f t="shared" si="3"/>
        <v/>
      </c>
      <c r="K33" s="29"/>
      <c r="L33" s="29"/>
      <c r="M33" s="29"/>
      <c r="N33" s="29"/>
    </row>
    <row r="34" spans="1:14" x14ac:dyDescent="0.3">
      <c r="A34" s="17" t="s">
        <v>312</v>
      </c>
      <c r="B34" s="5" t="s">
        <v>313</v>
      </c>
      <c r="C34" s="21" t="s">
        <v>309</v>
      </c>
      <c r="D34" s="17" t="s">
        <v>68</v>
      </c>
      <c r="E34" s="22">
        <v>1</v>
      </c>
      <c r="F34" s="22">
        <v>40</v>
      </c>
      <c r="G34" s="22" t="s">
        <v>115</v>
      </c>
      <c r="H34" s="30">
        <f t="shared" si="2"/>
        <v>41</v>
      </c>
      <c r="I34" s="28"/>
      <c r="J34" s="19" t="str">
        <f t="shared" si="3"/>
        <v/>
      </c>
      <c r="K34" s="29"/>
      <c r="L34" s="29"/>
      <c r="M34" s="29"/>
      <c r="N34" s="29"/>
    </row>
    <row r="35" spans="1:14" x14ac:dyDescent="0.3">
      <c r="A35" s="17" t="s">
        <v>314</v>
      </c>
      <c r="B35" s="5" t="s">
        <v>315</v>
      </c>
      <c r="C35" s="21" t="s">
        <v>316</v>
      </c>
      <c r="D35" s="17" t="s">
        <v>68</v>
      </c>
      <c r="E35" s="22" t="s">
        <v>115</v>
      </c>
      <c r="F35" s="22">
        <v>1</v>
      </c>
      <c r="G35" s="22">
        <v>2</v>
      </c>
      <c r="H35" s="30">
        <f t="shared" si="2"/>
        <v>3</v>
      </c>
      <c r="I35" s="28"/>
      <c r="J35" s="19" t="str">
        <f t="shared" si="3"/>
        <v/>
      </c>
      <c r="K35" s="29"/>
      <c r="L35" s="29"/>
      <c r="M35" s="29"/>
      <c r="N35" s="29"/>
    </row>
    <row r="36" spans="1:14" x14ac:dyDescent="0.3">
      <c r="A36" s="17" t="s">
        <v>317</v>
      </c>
      <c r="B36" s="5" t="s">
        <v>318</v>
      </c>
      <c r="C36" s="21" t="s">
        <v>319</v>
      </c>
      <c r="D36" s="17" t="s">
        <v>68</v>
      </c>
      <c r="E36" s="22" t="s">
        <v>115</v>
      </c>
      <c r="F36" s="22">
        <v>2</v>
      </c>
      <c r="G36" s="22">
        <v>4</v>
      </c>
      <c r="H36" s="30">
        <f t="shared" si="2"/>
        <v>6</v>
      </c>
      <c r="I36" s="28"/>
      <c r="J36" s="19" t="str">
        <f t="shared" si="3"/>
        <v/>
      </c>
      <c r="K36" s="29"/>
      <c r="L36" s="29"/>
      <c r="M36" s="29"/>
      <c r="N36" s="29"/>
    </row>
    <row r="37" spans="1:14" x14ac:dyDescent="0.3">
      <c r="A37" s="17" t="s">
        <v>320</v>
      </c>
      <c r="B37" s="5" t="s">
        <v>321</v>
      </c>
      <c r="C37" s="21" t="s">
        <v>319</v>
      </c>
      <c r="D37" s="17" t="s">
        <v>68</v>
      </c>
      <c r="E37" s="22" t="s">
        <v>115</v>
      </c>
      <c r="F37" s="22">
        <v>2</v>
      </c>
      <c r="G37" s="22">
        <v>4</v>
      </c>
      <c r="H37" s="30">
        <f t="shared" si="2"/>
        <v>6</v>
      </c>
      <c r="I37" s="28"/>
      <c r="J37" s="19" t="str">
        <f t="shared" si="3"/>
        <v/>
      </c>
      <c r="K37" s="29"/>
      <c r="L37" s="29"/>
      <c r="M37" s="29"/>
      <c r="N37" s="29"/>
    </row>
    <row r="38" spans="1:14" ht="118.8" x14ac:dyDescent="0.3">
      <c r="A38" s="6" t="s">
        <v>322</v>
      </c>
      <c r="B38" s="7"/>
      <c r="C38" s="7"/>
      <c r="D38" s="7"/>
      <c r="E38" s="7"/>
      <c r="F38" s="7"/>
      <c r="G38" s="7"/>
      <c r="H38" s="7"/>
      <c r="I38" s="7"/>
      <c r="J38" s="7"/>
      <c r="K38" s="7"/>
      <c r="L38" s="7"/>
      <c r="M38" s="7"/>
      <c r="N38" s="7"/>
    </row>
    <row r="39" spans="1:14" ht="26.4" x14ac:dyDescent="0.3">
      <c r="A39" s="17" t="s">
        <v>323</v>
      </c>
      <c r="B39" s="5" t="s">
        <v>324</v>
      </c>
      <c r="C39" s="21" t="s">
        <v>325</v>
      </c>
      <c r="D39" s="17" t="s">
        <v>68</v>
      </c>
      <c r="E39" s="22" t="s">
        <v>115</v>
      </c>
      <c r="F39" s="22">
        <v>27</v>
      </c>
      <c r="G39" s="22">
        <v>28</v>
      </c>
      <c r="H39" s="30">
        <f>SUM(E39:G39)</f>
        <v>55</v>
      </c>
      <c r="I39" s="28"/>
      <c r="J39" s="19" t="str">
        <f>IF(I39="","",H39*I39)</f>
        <v/>
      </c>
      <c r="K39" s="29"/>
      <c r="L39" s="29"/>
      <c r="M39" s="29"/>
      <c r="N39" s="29"/>
    </row>
    <row r="40" spans="1:14" ht="26.4" x14ac:dyDescent="0.3">
      <c r="A40" s="17" t="s">
        <v>326</v>
      </c>
      <c r="B40" s="5" t="s">
        <v>327</v>
      </c>
      <c r="C40" s="21" t="s">
        <v>325</v>
      </c>
      <c r="D40" s="17" t="s">
        <v>68</v>
      </c>
      <c r="E40" s="22" t="s">
        <v>115</v>
      </c>
      <c r="F40" s="22">
        <v>42</v>
      </c>
      <c r="G40" s="22" t="s">
        <v>115</v>
      </c>
      <c r="H40" s="30">
        <f>SUM(E40:G40)</f>
        <v>42</v>
      </c>
      <c r="I40" s="28"/>
      <c r="J40" s="19" t="str">
        <f>IF(I40="","",H40*I40)</f>
        <v/>
      </c>
      <c r="K40" s="29"/>
      <c r="L40" s="29"/>
      <c r="M40" s="29"/>
      <c r="N40" s="29"/>
    </row>
    <row r="41" spans="1:14" ht="26.4" x14ac:dyDescent="0.3">
      <c r="A41" s="17" t="s">
        <v>328</v>
      </c>
      <c r="B41" s="5" t="s">
        <v>329</v>
      </c>
      <c r="C41" s="21" t="s">
        <v>330</v>
      </c>
      <c r="D41" s="17" t="s">
        <v>68</v>
      </c>
      <c r="E41" s="22" t="s">
        <v>115</v>
      </c>
      <c r="F41" s="22">
        <v>27</v>
      </c>
      <c r="G41" s="22">
        <v>13</v>
      </c>
      <c r="H41" s="30">
        <f>SUM(E41:G41)</f>
        <v>40</v>
      </c>
      <c r="I41" s="28"/>
      <c r="J41" s="19" t="str">
        <f>IF(I41="","",H41*I41)</f>
        <v/>
      </c>
      <c r="K41" s="29"/>
      <c r="L41" s="29"/>
      <c r="M41" s="29"/>
      <c r="N41" s="29"/>
    </row>
    <row r="42" spans="1:14" x14ac:dyDescent="0.3">
      <c r="A42" s="17" t="s">
        <v>331</v>
      </c>
      <c r="B42" s="5" t="s">
        <v>332</v>
      </c>
      <c r="C42" s="21" t="s">
        <v>333</v>
      </c>
      <c r="D42" s="17" t="s">
        <v>68</v>
      </c>
      <c r="E42" s="22" t="s">
        <v>115</v>
      </c>
      <c r="F42" s="22">
        <v>40</v>
      </c>
      <c r="G42" s="22">
        <v>11</v>
      </c>
      <c r="H42" s="30">
        <f>SUM(E42:G42)</f>
        <v>51</v>
      </c>
      <c r="I42" s="28"/>
      <c r="J42" s="19" t="str">
        <f>IF(I42="","",H42*I42)</f>
        <v/>
      </c>
      <c r="K42" s="29"/>
      <c r="L42" s="29"/>
      <c r="M42" s="29"/>
      <c r="N42" s="29"/>
    </row>
    <row r="43" spans="1:14" x14ac:dyDescent="0.3">
      <c r="A43" s="24"/>
      <c r="B43" s="23" t="s">
        <v>171</v>
      </c>
      <c r="C43" s="24"/>
      <c r="D43" s="24"/>
      <c r="E43" s="24"/>
      <c r="F43" s="24"/>
      <c r="G43" s="24"/>
      <c r="H43" s="24"/>
      <c r="I43" s="24"/>
      <c r="J43" s="31">
        <f>SUM(J6:J42)</f>
        <v>0</v>
      </c>
      <c r="K43" s="24"/>
      <c r="L43" s="24"/>
      <c r="M43" s="24"/>
      <c r="N43" s="24"/>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1"/>
  <sheetViews>
    <sheetView showGridLines="0" zoomScaleNormal="100" workbookViewId="0">
      <pane ySplit="5" topLeftCell="A6" activePane="bottomLeft" state="frozen"/>
      <selection pane="bottomLeft"/>
    </sheetView>
  </sheetViews>
  <sheetFormatPr defaultColWidth="8.6640625" defaultRowHeight="14.4" x14ac:dyDescent="0.3"/>
  <cols>
    <col min="1" max="1" width="7" customWidth="1"/>
    <col min="2" max="2" width="42" customWidth="1"/>
    <col min="3" max="3" width="34" customWidth="1"/>
    <col min="4" max="4" width="6" customWidth="1"/>
    <col min="5" max="8" width="11" customWidth="1"/>
    <col min="9" max="9" width="14" customWidth="1"/>
    <col min="10" max="10" width="15" customWidth="1"/>
    <col min="11" max="11" width="13" customWidth="1"/>
    <col min="12" max="12" width="11" customWidth="1"/>
    <col min="13" max="13" width="15" customWidth="1"/>
    <col min="14" max="14" width="34" customWidth="1"/>
  </cols>
  <sheetData>
    <row r="1" spans="1:14" ht="17.399999999999999" x14ac:dyDescent="0.3">
      <c r="A1" s="1" t="s">
        <v>334</v>
      </c>
    </row>
    <row r="2" spans="1:14" x14ac:dyDescent="0.3">
      <c r="A2" s="3" t="s">
        <v>97</v>
      </c>
    </row>
    <row r="5" spans="1:14" ht="42" customHeight="1" x14ac:dyDescent="0.3">
      <c r="A5" s="26" t="s">
        <v>58</v>
      </c>
      <c r="B5" s="26" t="s">
        <v>99</v>
      </c>
      <c r="C5" s="26" t="s">
        <v>100</v>
      </c>
      <c r="D5" s="26" t="s">
        <v>59</v>
      </c>
      <c r="E5" s="26" t="s">
        <v>101</v>
      </c>
      <c r="F5" s="26" t="s">
        <v>102</v>
      </c>
      <c r="G5" s="26" t="s">
        <v>103</v>
      </c>
      <c r="H5" s="26" t="s">
        <v>104</v>
      </c>
      <c r="I5" s="26" t="s">
        <v>105</v>
      </c>
      <c r="J5" s="26" t="s">
        <v>106</v>
      </c>
      <c r="K5" s="26" t="s">
        <v>107</v>
      </c>
      <c r="L5" s="26" t="s">
        <v>108</v>
      </c>
      <c r="M5" s="26" t="s">
        <v>109</v>
      </c>
      <c r="N5" s="26" t="s">
        <v>110</v>
      </c>
    </row>
    <row r="6" spans="1:14" ht="79.2" x14ac:dyDescent="0.3">
      <c r="A6" s="6" t="s">
        <v>335</v>
      </c>
      <c r="B6" s="7"/>
      <c r="C6" s="7"/>
      <c r="D6" s="7"/>
      <c r="E6" s="7"/>
      <c r="F6" s="7"/>
      <c r="G6" s="7"/>
      <c r="H6" s="7"/>
      <c r="I6" s="7"/>
      <c r="J6" s="7"/>
      <c r="K6" s="7"/>
      <c r="L6" s="7"/>
      <c r="M6" s="7"/>
      <c r="N6" s="7"/>
    </row>
    <row r="7" spans="1:14" ht="26.4" x14ac:dyDescent="0.3">
      <c r="A7" s="17" t="s">
        <v>336</v>
      </c>
      <c r="B7" s="16" t="s">
        <v>337</v>
      </c>
      <c r="C7" s="21" t="s">
        <v>338</v>
      </c>
      <c r="D7" s="17" t="s">
        <v>339</v>
      </c>
      <c r="E7" s="18">
        <v>297.57979999999998</v>
      </c>
      <c r="F7" s="18">
        <v>2731.73425</v>
      </c>
      <c r="G7" s="18">
        <v>1484.6884500000001</v>
      </c>
      <c r="H7" s="27">
        <f>SUM(E7:G7)</f>
        <v>4514.0025000000005</v>
      </c>
      <c r="I7" s="28"/>
      <c r="J7" s="19" t="str">
        <f>IF(I7="","",H7*I7)</f>
        <v/>
      </c>
      <c r="K7" s="29"/>
      <c r="L7" s="29"/>
      <c r="M7" s="29"/>
      <c r="N7" s="29"/>
    </row>
    <row r="8" spans="1:14" ht="22.8" x14ac:dyDescent="0.3">
      <c r="A8" s="17" t="s">
        <v>340</v>
      </c>
      <c r="B8" s="5" t="s">
        <v>341</v>
      </c>
      <c r="C8" s="21" t="s">
        <v>342</v>
      </c>
      <c r="D8" s="17" t="s">
        <v>339</v>
      </c>
      <c r="E8" s="18" t="s">
        <v>115</v>
      </c>
      <c r="F8" s="18" t="s">
        <v>115</v>
      </c>
      <c r="G8" s="18" t="s">
        <v>115</v>
      </c>
      <c r="H8" s="27">
        <f>SUM(E8:G8)</f>
        <v>0</v>
      </c>
      <c r="I8" s="28"/>
      <c r="J8" s="19" t="str">
        <f>IF(I8="","",H8*I8)</f>
        <v/>
      </c>
      <c r="K8" s="29"/>
      <c r="L8" s="29"/>
      <c r="M8" s="29"/>
      <c r="N8" s="29"/>
    </row>
    <row r="9" spans="1:14" x14ac:dyDescent="0.3">
      <c r="A9" s="24"/>
      <c r="B9" s="23" t="s">
        <v>171</v>
      </c>
      <c r="C9" s="24"/>
      <c r="D9" s="24"/>
      <c r="E9" s="24"/>
      <c r="F9" s="24"/>
      <c r="G9" s="24"/>
      <c r="H9" s="24"/>
      <c r="I9" s="24"/>
      <c r="J9" s="31">
        <f>SUM(J6:J8)</f>
        <v>0</v>
      </c>
      <c r="K9" s="24"/>
      <c r="L9" s="24"/>
      <c r="M9" s="24"/>
      <c r="N9" s="24"/>
    </row>
    <row r="11" spans="1:14" ht="262.2" x14ac:dyDescent="0.3">
      <c r="A11" s="10" t="s">
        <v>343</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4"/>
  <sheetViews>
    <sheetView showGridLines="0" zoomScaleNormal="100" workbookViewId="0">
      <pane ySplit="5" topLeftCell="A6" activePane="bottomLeft" state="frozen"/>
      <selection pane="bottomLeft"/>
    </sheetView>
  </sheetViews>
  <sheetFormatPr defaultColWidth="8.6640625" defaultRowHeight="14.4" x14ac:dyDescent="0.3"/>
  <cols>
    <col min="1" max="1" width="7" customWidth="1"/>
    <col min="2" max="2" width="42" customWidth="1"/>
    <col min="3" max="3" width="34" customWidth="1"/>
    <col min="4" max="4" width="6" customWidth="1"/>
    <col min="5" max="8" width="11" customWidth="1"/>
    <col min="9" max="9" width="14" customWidth="1"/>
    <col min="10" max="10" width="15" customWidth="1"/>
    <col min="11" max="11" width="13" customWidth="1"/>
    <col min="12" max="12" width="11" customWidth="1"/>
    <col min="13" max="13" width="15" customWidth="1"/>
    <col min="14" max="14" width="34" customWidth="1"/>
  </cols>
  <sheetData>
    <row r="1" spans="1:14" ht="17.399999999999999" x14ac:dyDescent="0.3">
      <c r="A1" s="1" t="s">
        <v>344</v>
      </c>
    </row>
    <row r="2" spans="1:14" x14ac:dyDescent="0.3">
      <c r="A2" s="3" t="s">
        <v>97</v>
      </c>
    </row>
    <row r="3" spans="1:14" x14ac:dyDescent="0.3">
      <c r="A3" s="12" t="s">
        <v>345</v>
      </c>
    </row>
    <row r="5" spans="1:14" ht="42" customHeight="1" x14ac:dyDescent="0.3">
      <c r="A5" s="26" t="s">
        <v>58</v>
      </c>
      <c r="B5" s="26" t="s">
        <v>99</v>
      </c>
      <c r="C5" s="26" t="s">
        <v>100</v>
      </c>
      <c r="D5" s="26" t="s">
        <v>59</v>
      </c>
      <c r="E5" s="26" t="s">
        <v>101</v>
      </c>
      <c r="F5" s="26" t="s">
        <v>102</v>
      </c>
      <c r="G5" s="26" t="s">
        <v>103</v>
      </c>
      <c r="H5" s="26" t="s">
        <v>104</v>
      </c>
      <c r="I5" s="26" t="s">
        <v>105</v>
      </c>
      <c r="J5" s="26" t="s">
        <v>106</v>
      </c>
      <c r="K5" s="26" t="s">
        <v>107</v>
      </c>
      <c r="L5" s="26" t="s">
        <v>108</v>
      </c>
      <c r="M5" s="26" t="s">
        <v>109</v>
      </c>
      <c r="N5" s="26" t="s">
        <v>110</v>
      </c>
    </row>
    <row r="6" spans="1:14" ht="145.19999999999999" x14ac:dyDescent="0.3">
      <c r="A6" s="6" t="s">
        <v>346</v>
      </c>
      <c r="B6" s="7"/>
      <c r="C6" s="7"/>
      <c r="D6" s="7"/>
      <c r="E6" s="7"/>
      <c r="F6" s="7"/>
      <c r="G6" s="7"/>
      <c r="H6" s="7"/>
      <c r="I6" s="7"/>
      <c r="J6" s="7"/>
      <c r="K6" s="7"/>
      <c r="L6" s="7"/>
      <c r="M6" s="7"/>
      <c r="N6" s="7"/>
    </row>
    <row r="7" spans="1:14" ht="26.4" x14ac:dyDescent="0.3">
      <c r="A7" s="17" t="s">
        <v>347</v>
      </c>
      <c r="B7" s="16" t="s">
        <v>348</v>
      </c>
      <c r="C7" s="21" t="s">
        <v>349</v>
      </c>
      <c r="D7" s="17" t="s">
        <v>83</v>
      </c>
      <c r="E7" s="18">
        <v>1072.3</v>
      </c>
      <c r="F7" s="18" t="s">
        <v>115</v>
      </c>
      <c r="G7" s="18" t="s">
        <v>115</v>
      </c>
      <c r="H7" s="27">
        <f>SUM(E7:G7)</f>
        <v>1072.3</v>
      </c>
      <c r="I7" s="28"/>
      <c r="J7" s="19" t="str">
        <f>IF(I7="","",H7*I7)</f>
        <v/>
      </c>
      <c r="K7" s="29"/>
      <c r="L7" s="29"/>
      <c r="M7" s="29"/>
      <c r="N7" s="29"/>
    </row>
    <row r="8" spans="1:14" ht="26.4" x14ac:dyDescent="0.3">
      <c r="A8" s="17" t="s">
        <v>350</v>
      </c>
      <c r="B8" s="16" t="s">
        <v>351</v>
      </c>
      <c r="C8" s="21" t="s">
        <v>352</v>
      </c>
      <c r="D8" s="17" t="s">
        <v>68</v>
      </c>
      <c r="E8" s="22">
        <v>2</v>
      </c>
      <c r="F8" s="22" t="s">
        <v>115</v>
      </c>
      <c r="G8" s="22" t="s">
        <v>115</v>
      </c>
      <c r="H8" s="30">
        <f>SUM(E8:G8)</f>
        <v>2</v>
      </c>
      <c r="I8" s="28"/>
      <c r="J8" s="19" t="str">
        <f>IF(I8="","",H8*I8)</f>
        <v/>
      </c>
      <c r="K8" s="29"/>
      <c r="L8" s="29"/>
      <c r="M8" s="29"/>
      <c r="N8" s="29"/>
    </row>
    <row r="9" spans="1:14" ht="22.8" x14ac:dyDescent="0.3">
      <c r="A9" s="17" t="s">
        <v>353</v>
      </c>
      <c r="B9" s="5" t="s">
        <v>354</v>
      </c>
      <c r="C9" s="21" t="s">
        <v>355</v>
      </c>
      <c r="D9" s="17" t="s">
        <v>68</v>
      </c>
      <c r="E9" s="22">
        <v>3</v>
      </c>
      <c r="F9" s="22">
        <v>2</v>
      </c>
      <c r="G9" s="22">
        <v>6</v>
      </c>
      <c r="H9" s="30">
        <f>SUM(E9:G9)</f>
        <v>11</v>
      </c>
      <c r="I9" s="28"/>
      <c r="J9" s="19" t="str">
        <f>IF(I9="","",H9*I9)</f>
        <v/>
      </c>
      <c r="K9" s="29"/>
      <c r="L9" s="29"/>
      <c r="M9" s="29"/>
      <c r="N9" s="29"/>
    </row>
    <row r="10" spans="1:14" ht="66" x14ac:dyDescent="0.3">
      <c r="A10" s="6" t="s">
        <v>356</v>
      </c>
      <c r="B10" s="7"/>
      <c r="C10" s="7"/>
      <c r="D10" s="7"/>
      <c r="E10" s="7"/>
      <c r="F10" s="7"/>
      <c r="G10" s="7"/>
      <c r="H10" s="7"/>
      <c r="I10" s="7"/>
      <c r="J10" s="7"/>
      <c r="K10" s="7"/>
      <c r="L10" s="7"/>
      <c r="M10" s="7"/>
      <c r="N10" s="7"/>
    </row>
    <row r="11" spans="1:14" ht="26.4" x14ac:dyDescent="0.3">
      <c r="A11" s="17" t="s">
        <v>357</v>
      </c>
      <c r="B11" s="5" t="s">
        <v>358</v>
      </c>
      <c r="C11" s="21" t="s">
        <v>359</v>
      </c>
      <c r="D11" s="17" t="s">
        <v>339</v>
      </c>
      <c r="E11" s="18" t="s">
        <v>115</v>
      </c>
      <c r="F11" s="18" t="s">
        <v>115</v>
      </c>
      <c r="G11" s="18" t="s">
        <v>115</v>
      </c>
      <c r="H11" s="27">
        <f>SUM(E11:G11)</f>
        <v>0</v>
      </c>
      <c r="I11" s="28"/>
      <c r="J11" s="19" t="str">
        <f>IF(I11="","",H11*I11)</f>
        <v/>
      </c>
      <c r="K11" s="29"/>
      <c r="L11" s="29"/>
      <c r="M11" s="29"/>
      <c r="N11" s="29"/>
    </row>
    <row r="12" spans="1:14" x14ac:dyDescent="0.3">
      <c r="A12" s="24"/>
      <c r="B12" s="23" t="s">
        <v>171</v>
      </c>
      <c r="C12" s="24"/>
      <c r="D12" s="24"/>
      <c r="E12" s="24"/>
      <c r="F12" s="24"/>
      <c r="G12" s="24"/>
      <c r="H12" s="24"/>
      <c r="I12" s="24"/>
      <c r="J12" s="31">
        <f>SUM(J6:J11)</f>
        <v>0</v>
      </c>
      <c r="K12" s="24"/>
      <c r="L12" s="24"/>
      <c r="M12" s="24"/>
      <c r="N12" s="24"/>
    </row>
    <row r="14" spans="1:14" ht="296.39999999999998" x14ac:dyDescent="0.3">
      <c r="A14" s="10" t="s">
        <v>360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RFQ Cover</vt:lpstr>
      <vt:lpstr>URGENT - Price Critical</vt:lpstr>
      <vt:lpstr>A - Precast Drainage</vt:lpstr>
      <vt:lpstr>B - Sewer Precast</vt:lpstr>
      <vt:lpstr>C - Plastic Pipe</vt:lpstr>
      <vt:lpstr>D - Water Retic</vt:lpstr>
      <vt:lpstr>E - Quarry</vt:lpstr>
      <vt:lpstr>F - Concrete &amp; Reo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TriCore</dc:creator>
  <dc:description/>
  <cp:lastModifiedBy>Mitch - TPS</cp:lastModifiedBy>
  <cp:revision>0</cp:revision>
  <dcterms:created xsi:type="dcterms:W3CDTF">2026-07-22T19:57:08Z</dcterms:created>
  <dcterms:modified xsi:type="dcterms:W3CDTF">2026-07-22T20:28:11Z</dcterms:modified>
  <dc:language>en-US</dc:language>
</cp:coreProperties>
</file>