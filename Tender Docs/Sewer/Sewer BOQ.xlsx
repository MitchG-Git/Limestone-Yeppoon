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ntoshprojects-my.sharepoint.com/personal/chris_mcintoshcivil_au/Documents/Subcontractor Document Packages/Limestone/12 Sewer - Subcontractors/"/>
    </mc:Choice>
  </mc:AlternateContent>
  <xr:revisionPtr revIDLastSave="2" documentId="8_{51AE37A9-1E97-44B3-A5C3-AEC1AC15AC61}" xr6:coauthVersionLast="47" xr6:coauthVersionMax="47" xr10:uidLastSave="{42AC4691-9066-468B-8B3F-75A08C8F871C}"/>
  <bookViews>
    <workbookView xWindow="-21697" yWindow="-2948" windowWidth="21795" windowHeight="12975" xr2:uid="{00000000-000D-0000-FFFF-FFFF00000000}"/>
  </bookViews>
  <sheets>
    <sheet name="ST 1,2 RES BOQ " sheetId="10" r:id="rId1"/>
    <sheet name="ST 3,4,5,6 RES BOQ  " sheetId="15" r:id="rId2"/>
    <sheet name="stormwater pipe calcs" sheetId="16" state="hidden" r:id="rId3"/>
  </sheets>
  <definedNames>
    <definedName name="_xlnm.Print_Area" localSheetId="0">'ST 1,2 RES BOQ '!$A$3:$G$34</definedName>
    <definedName name="_xlnm.Print_Area" localSheetId="1">'ST 3,4,5,6 RES BOQ  '!$A$3:$G$32</definedName>
    <definedName name="_xlnm.Print_Titles" localSheetId="0">'ST 1,2 RES BOQ '!$3:$4</definedName>
    <definedName name="_xlnm.Print_Titles" localSheetId="1">'ST 3,4,5,6 RES BOQ  '!$3:$4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5" l="1"/>
  <c r="G31" i="15"/>
  <c r="G30" i="15"/>
  <c r="G28" i="15"/>
  <c r="G27" i="15"/>
  <c r="G26" i="15"/>
  <c r="G25" i="15"/>
  <c r="G24" i="15"/>
  <c r="G23" i="15"/>
  <c r="G21" i="15"/>
  <c r="G20" i="15"/>
  <c r="G19" i="15"/>
  <c r="G18" i="15"/>
  <c r="G17" i="15"/>
  <c r="G16" i="15"/>
  <c r="G14" i="15"/>
  <c r="G13" i="15"/>
  <c r="G12" i="15"/>
  <c r="G10" i="15"/>
  <c r="G9" i="15"/>
  <c r="G8" i="15"/>
  <c r="G7" i="15"/>
  <c r="F5" i="15" l="1"/>
  <c r="G34" i="10"/>
  <c r="G33" i="10"/>
  <c r="G32" i="10"/>
  <c r="G30" i="10"/>
  <c r="G29" i="10"/>
  <c r="G28" i="10"/>
  <c r="G27" i="10"/>
  <c r="G26" i="10"/>
  <c r="G24" i="10"/>
  <c r="G23" i="10"/>
  <c r="G22" i="10"/>
  <c r="G21" i="10"/>
  <c r="G20" i="10"/>
  <c r="G16" i="10"/>
  <c r="G15" i="10"/>
  <c r="G14" i="10"/>
  <c r="G12" i="10"/>
  <c r="G11" i="10"/>
  <c r="G10" i="10"/>
  <c r="G9" i="10"/>
  <c r="G8" i="10"/>
  <c r="G7" i="10"/>
  <c r="AJ44" i="16" l="1"/>
  <c r="AJ45" i="16"/>
  <c r="AJ46" i="16"/>
  <c r="AJ27" i="16"/>
  <c r="AJ29" i="16"/>
  <c r="AJ30" i="16"/>
  <c r="AJ31" i="16"/>
  <c r="AJ32" i="16"/>
  <c r="AJ35" i="16"/>
  <c r="AJ36" i="16"/>
  <c r="AJ37" i="16"/>
  <c r="AJ38" i="16"/>
  <c r="AJ4" i="16"/>
  <c r="AJ5" i="16"/>
  <c r="AJ6" i="16"/>
  <c r="AJ7" i="16"/>
  <c r="AJ8" i="16"/>
  <c r="AJ9" i="16"/>
  <c r="AJ10" i="16"/>
  <c r="AJ13" i="16"/>
  <c r="AJ14" i="16"/>
  <c r="AJ15" i="16"/>
  <c r="AJ16" i="16"/>
  <c r="AJ17" i="16"/>
  <c r="AJ3" i="16"/>
  <c r="A26" i="16"/>
  <c r="A27" i="16" s="1"/>
  <c r="A28" i="16" s="1"/>
  <c r="A29" i="16" s="1"/>
  <c r="A30" i="16" s="1"/>
  <c r="A31" i="16" s="1"/>
  <c r="A32" i="16" s="1"/>
  <c r="A9" i="16"/>
  <c r="A10" i="16" s="1"/>
  <c r="A5" i="16"/>
  <c r="A6" i="16"/>
  <c r="A7" i="16"/>
  <c r="A8" i="16"/>
  <c r="A4" i="16"/>
  <c r="G19" i="10" l="1"/>
  <c r="G18" i="10"/>
  <c r="F5" i="10" s="1"/>
</calcChain>
</file>

<file path=xl/sharedStrings.xml><?xml version="1.0" encoding="utf-8"?>
<sst xmlns="http://schemas.openxmlformats.org/spreadsheetml/2006/main" count="176" uniqueCount="76">
  <si>
    <t>LIMESTONE CR ROAD YEPPOON</t>
  </si>
  <si>
    <t>BILL OF QUANTITIES</t>
  </si>
  <si>
    <t>DATE</t>
  </si>
  <si>
    <t>REV A</t>
  </si>
  <si>
    <t>Item</t>
  </si>
  <si>
    <t>Qty.</t>
  </si>
  <si>
    <t>Unit</t>
  </si>
  <si>
    <t>Rate</t>
  </si>
  <si>
    <t>Total</t>
  </si>
  <si>
    <t>item</t>
  </si>
  <si>
    <t>m</t>
  </si>
  <si>
    <t>each</t>
  </si>
  <si>
    <t>STAGE 1 &amp; 2 - OP WORKS</t>
  </si>
  <si>
    <t>Rev A</t>
  </si>
  <si>
    <t>SEWER RETICULATION</t>
  </si>
  <si>
    <t>Supply, Excavate, bed, lay, joint &amp; backfill incl compaction testing &amp; tape</t>
  </si>
  <si>
    <t>6.1.1</t>
  </si>
  <si>
    <t>150mm sewer up to 1.50m deep</t>
  </si>
  <si>
    <t>6.1.2</t>
  </si>
  <si>
    <t>150mm sewer 1.50m to 3.0m deep</t>
  </si>
  <si>
    <t>6.1.3</t>
  </si>
  <si>
    <t>150mm sewer over  3.0m deep</t>
  </si>
  <si>
    <t>6.1.4</t>
  </si>
  <si>
    <t>300mm sewer 1.50m to 3.0m deep</t>
  </si>
  <si>
    <t>6.1.5</t>
  </si>
  <si>
    <t>300mm sewer over 3.0m deep</t>
  </si>
  <si>
    <t>6.1.6</t>
  </si>
  <si>
    <t>Provisional Item - Allowance for Excavation and Installation in Water Charged Ground</t>
  </si>
  <si>
    <t xml:space="preserve">Construct Manholes </t>
  </si>
  <si>
    <t>6.2.1</t>
  </si>
  <si>
    <t xml:space="preserve">Up to 1.5m Deep </t>
  </si>
  <si>
    <t>6.2.2</t>
  </si>
  <si>
    <t xml:space="preserve">1.5m to 3m Deep </t>
  </si>
  <si>
    <t>6.2.3</t>
  </si>
  <si>
    <t>Over 3m Deep</t>
  </si>
  <si>
    <t>Construct Lampholes</t>
  </si>
  <si>
    <t>6.3.1</t>
  </si>
  <si>
    <t>Construct Lampholes to 1.5m</t>
  </si>
  <si>
    <t>6.3.2</t>
  </si>
  <si>
    <t>Construct Lampholes 1.5 to 3m</t>
  </si>
  <si>
    <t>House Junctions - into line</t>
  </si>
  <si>
    <t>6.4.1</t>
  </si>
  <si>
    <t>100mm dia property sewer junction - Type B</t>
  </si>
  <si>
    <t>6.4.2</t>
  </si>
  <si>
    <t>100mm dia property sewer junction - Type C1</t>
  </si>
  <si>
    <t>6.4.3</t>
  </si>
  <si>
    <t>100mm dia property sewer junction - Type C2</t>
  </si>
  <si>
    <t>6.4.4</t>
  </si>
  <si>
    <t>100mm dia property sewer junction - Type D</t>
  </si>
  <si>
    <t>Bends</t>
  </si>
  <si>
    <t>6.5.1</t>
  </si>
  <si>
    <t>150mm 6° Bends</t>
  </si>
  <si>
    <t>6.5.2</t>
  </si>
  <si>
    <t>150mm 11¼ ° Bends</t>
  </si>
  <si>
    <t>6.5.3</t>
  </si>
  <si>
    <t>150mm 22½ ° Bends</t>
  </si>
  <si>
    <t>6.5.4</t>
  </si>
  <si>
    <t>150mm 45 ° Bends</t>
  </si>
  <si>
    <t>6.5.5</t>
  </si>
  <si>
    <t>Connect to existing Manhole by Livingstone Shire</t>
  </si>
  <si>
    <t>Commissioning sewer main</t>
  </si>
  <si>
    <t>6.6.1</t>
  </si>
  <si>
    <t>Vaccum testing manholes</t>
  </si>
  <si>
    <t>6.6.2</t>
  </si>
  <si>
    <t>Pressure testing of sewer</t>
  </si>
  <si>
    <t>6.6.3</t>
  </si>
  <si>
    <t>CCTV inspection &amp; reporting</t>
  </si>
  <si>
    <t>Stage 3, 4, 5 &amp; 6 - OP WORKS</t>
  </si>
  <si>
    <t>150mm sewer over 3.0m deep</t>
  </si>
  <si>
    <t>House Junctions (including manhole inlets)</t>
  </si>
  <si>
    <t>150mm 33¾° Bends</t>
  </si>
  <si>
    <t>Stage 1 &amp; 2</t>
  </si>
  <si>
    <t xml:space="preserve">Road Drainage </t>
  </si>
  <si>
    <t>IAD</t>
  </si>
  <si>
    <t>Stage 3, 4, 5, 6</t>
  </si>
  <si>
    <t>Trunk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</si>
</sst>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* #,##0.00_-;\-* #,##0.00_-;_-* &quot;-&quot;??_-;_-@_-"/>
    <numFmt numFmtId="167" formatCode="&quot;$&quot;#,##0.00"/>
    <numFmt numFmtId="168" formatCode="0.0"/>
    <numFmt numFmtId="170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ptos"/>
      <family val="2"/>
    </font>
    <font>
      <b/>
      <sz val="12"/>
      <color theme="1"/>
      <name val="Aptos"/>
      <family val="2"/>
    </font>
    <font>
      <sz val="10"/>
      <color theme="1"/>
      <name val="Aptos"/>
      <family val="2"/>
    </font>
    <font>
      <b/>
      <sz val="11"/>
      <color theme="1"/>
      <name val="Aptos"/>
      <family val="2"/>
    </font>
    <font>
      <b/>
      <i/>
      <sz val="10"/>
      <color theme="1"/>
      <name val="Aptos"/>
      <family val="2"/>
    </font>
    <font>
      <sz val="10"/>
      <name val="Aptos"/>
      <family val="2"/>
    </font>
    <font>
      <b/>
      <i/>
      <sz val="10"/>
      <name val="Aptos"/>
      <family val="2"/>
    </font>
    <font>
      <b/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77">
    <xf numFmtId="0" fontId="0" fillId="0" borderId="0" xfId="0"/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14" fontId="6" fillId="0" borderId="14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2" borderId="1" xfId="0" quotePrefix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167" fontId="4" fillId="2" borderId="22" xfId="2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right" vertical="center"/>
    </xf>
    <xf numFmtId="0" fontId="4" fillId="2" borderId="4" xfId="0" quotePrefix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167" fontId="4" fillId="2" borderId="5" xfId="2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8" fillId="3" borderId="13" xfId="0" quotePrefix="1" applyFont="1" applyFill="1" applyBorder="1" applyAlignment="1">
      <alignment horizontal="right" vertical="center"/>
    </xf>
    <xf numFmtId="0" fontId="11" fillId="2" borderId="5" xfId="0" applyFont="1" applyFill="1" applyBorder="1" applyAlignment="1">
      <alignment vertical="center" wrapText="1"/>
    </xf>
    <xf numFmtId="0" fontId="4" fillId="3" borderId="12" xfId="0" quotePrefix="1" applyFont="1" applyFill="1" applyBorder="1" applyAlignment="1">
      <alignment horizontal="right" vertical="center"/>
    </xf>
    <xf numFmtId="0" fontId="10" fillId="3" borderId="7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horizontal="center" vertical="center"/>
    </xf>
    <xf numFmtId="167" fontId="9" fillId="3" borderId="15" xfId="2" applyNumberFormat="1" applyFont="1" applyFill="1" applyBorder="1" applyAlignment="1">
      <alignment vertical="center"/>
    </xf>
    <xf numFmtId="164" fontId="9" fillId="3" borderId="10" xfId="2" applyNumberFormat="1" applyFont="1" applyFill="1" applyBorder="1" applyAlignment="1">
      <alignment vertical="center"/>
    </xf>
    <xf numFmtId="167" fontId="6" fillId="3" borderId="15" xfId="2" applyNumberFormat="1" applyFont="1" applyFill="1" applyBorder="1" applyAlignment="1">
      <alignment vertical="center"/>
    </xf>
    <xf numFmtId="164" fontId="6" fillId="3" borderId="10" xfId="2" applyNumberFormat="1" applyFont="1" applyFill="1" applyBorder="1" applyAlignment="1">
      <alignment vertical="center"/>
    </xf>
    <xf numFmtId="168" fontId="8" fillId="3" borderId="13" xfId="0" quotePrefix="1" applyNumberFormat="1" applyFont="1" applyFill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167" fontId="6" fillId="0" borderId="15" xfId="2" applyNumberFormat="1" applyFont="1" applyFill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167" fontId="6" fillId="0" borderId="0" xfId="2" applyNumberFormat="1" applyFont="1" applyAlignment="1">
      <alignment vertical="center"/>
    </xf>
    <xf numFmtId="0" fontId="6" fillId="0" borderId="13" xfId="0" quotePrefix="1" applyFont="1" applyBorder="1" applyAlignment="1">
      <alignment horizontal="right" vertical="center"/>
    </xf>
    <xf numFmtId="0" fontId="8" fillId="3" borderId="16" xfId="0" quotePrefix="1" applyFont="1" applyFill="1" applyBorder="1" applyAlignment="1">
      <alignment horizontal="right" vertical="center"/>
    </xf>
    <xf numFmtId="0" fontId="8" fillId="3" borderId="20" xfId="0" applyFont="1" applyFill="1" applyBorder="1" applyAlignment="1">
      <alignment vertical="center" wrapText="1"/>
    </xf>
    <xf numFmtId="0" fontId="6" fillId="3" borderId="19" xfId="0" applyFont="1" applyFill="1" applyBorder="1" applyAlignment="1">
      <alignment horizontal="center" vertical="center"/>
    </xf>
    <xf numFmtId="167" fontId="6" fillId="3" borderId="19" xfId="2" applyNumberFormat="1" applyFont="1" applyFill="1" applyBorder="1" applyAlignment="1">
      <alignment vertical="center"/>
    </xf>
    <xf numFmtId="164" fontId="6" fillId="3" borderId="9" xfId="2" applyNumberFormat="1" applyFont="1" applyFill="1" applyBorder="1" applyAlignment="1">
      <alignment vertical="center"/>
    </xf>
    <xf numFmtId="170" fontId="4" fillId="2" borderId="22" xfId="2" applyNumberFormat="1" applyFont="1" applyFill="1" applyBorder="1" applyAlignment="1">
      <alignment horizontal="center" vertical="center"/>
    </xf>
    <xf numFmtId="170" fontId="4" fillId="2" borderId="3" xfId="2" applyNumberFormat="1" applyFont="1" applyFill="1" applyBorder="1" applyAlignment="1">
      <alignment horizontal="center" vertical="center"/>
    </xf>
    <xf numFmtId="170" fontId="6" fillId="0" borderId="0" xfId="2" applyNumberFormat="1" applyFont="1" applyAlignment="1">
      <alignment vertical="center"/>
    </xf>
    <xf numFmtId="170" fontId="9" fillId="3" borderId="6" xfId="2" applyNumberFormat="1" applyFont="1" applyFill="1" applyBorder="1" applyAlignment="1">
      <alignment vertical="center"/>
    </xf>
    <xf numFmtId="0" fontId="6" fillId="0" borderId="7" xfId="0" applyFont="1" applyBorder="1" applyAlignment="1">
      <alignment horizontal="left" vertical="center" wrapText="1" indent="1"/>
    </xf>
    <xf numFmtId="164" fontId="6" fillId="0" borderId="10" xfId="2" applyNumberFormat="1" applyFont="1" applyBorder="1" applyAlignment="1">
      <alignment vertical="center"/>
    </xf>
    <xf numFmtId="0" fontId="8" fillId="3" borderId="7" xfId="0" applyFont="1" applyFill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 indent="1"/>
    </xf>
    <xf numFmtId="0" fontId="4" fillId="3" borderId="21" xfId="0" quotePrefix="1" applyFont="1" applyFill="1" applyBorder="1" applyAlignment="1">
      <alignment horizontal="right" vertical="center"/>
    </xf>
    <xf numFmtId="170" fontId="11" fillId="3" borderId="8" xfId="2" applyNumberFormat="1" applyFont="1" applyFill="1" applyBorder="1" applyAlignment="1">
      <alignment vertical="center"/>
    </xf>
    <xf numFmtId="0" fontId="4" fillId="0" borderId="12" xfId="0" quotePrefix="1" applyFont="1" applyBorder="1" applyAlignment="1">
      <alignment horizontal="right" vertical="center"/>
    </xf>
    <xf numFmtId="0" fontId="9" fillId="0" borderId="7" xfId="0" applyFont="1" applyBorder="1" applyAlignment="1">
      <alignment horizontal="left" vertical="center" wrapText="1" indent="1"/>
    </xf>
    <xf numFmtId="170" fontId="9" fillId="0" borderId="6" xfId="2" applyNumberFormat="1" applyFont="1" applyFill="1" applyBorder="1" applyAlignment="1">
      <alignment vertical="center"/>
    </xf>
    <xf numFmtId="0" fontId="6" fillId="0" borderId="12" xfId="0" quotePrefix="1" applyFont="1" applyBorder="1" applyAlignment="1">
      <alignment horizontal="right" vertical="center"/>
    </xf>
    <xf numFmtId="0" fontId="9" fillId="0" borderId="10" xfId="0" applyFont="1" applyBorder="1" applyAlignment="1">
      <alignment horizontal="left" vertical="center" wrapText="1" indent="1"/>
    </xf>
    <xf numFmtId="170" fontId="9" fillId="0" borderId="7" xfId="2" applyNumberFormat="1" applyFont="1" applyFill="1" applyBorder="1" applyAlignment="1">
      <alignment vertical="center"/>
    </xf>
    <xf numFmtId="2" fontId="6" fillId="0" borderId="13" xfId="0" quotePrefix="1" applyNumberFormat="1" applyFont="1" applyBorder="1" applyAlignment="1">
      <alignment horizontal="right" vertical="center"/>
    </xf>
    <xf numFmtId="167" fontId="9" fillId="0" borderId="15" xfId="2" applyNumberFormat="1" applyFont="1" applyFill="1" applyBorder="1" applyAlignment="1">
      <alignment vertical="center"/>
    </xf>
    <xf numFmtId="164" fontId="6" fillId="0" borderId="10" xfId="2" applyNumberFormat="1" applyFont="1" applyFill="1" applyBorder="1" applyAlignment="1">
      <alignment vertical="center"/>
    </xf>
    <xf numFmtId="0" fontId="4" fillId="0" borderId="11" xfId="0" quotePrefix="1" applyFont="1" applyBorder="1" applyAlignment="1">
      <alignment horizontal="right" vertical="center"/>
    </xf>
    <xf numFmtId="2" fontId="6" fillId="0" borderId="18" xfId="0" quotePrefix="1" applyNumberFormat="1" applyFont="1" applyBorder="1" applyAlignment="1">
      <alignment horizontal="right" vertical="center"/>
    </xf>
    <xf numFmtId="0" fontId="6" fillId="0" borderId="24" xfId="0" applyFont="1" applyBorder="1" applyAlignment="1">
      <alignment horizontal="left" vertical="center" wrapText="1" indent="1"/>
    </xf>
    <xf numFmtId="170" fontId="9" fillId="0" borderId="23" xfId="2" applyNumberFormat="1" applyFont="1" applyFill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167" fontId="9" fillId="0" borderId="17" xfId="2" applyNumberFormat="1" applyFont="1" applyFill="1" applyBorder="1" applyAlignment="1">
      <alignment vertical="center"/>
    </xf>
    <xf numFmtId="164" fontId="6" fillId="0" borderId="24" xfId="2" applyNumberFormat="1" applyFont="1" applyFill="1" applyBorder="1" applyAlignment="1">
      <alignment vertical="center"/>
    </xf>
    <xf numFmtId="170" fontId="11" fillId="0" borderId="6" xfId="2" applyNumberFormat="1" applyFont="1" applyFill="1" applyBorder="1" applyAlignment="1">
      <alignment vertical="center"/>
    </xf>
    <xf numFmtId="170" fontId="11" fillId="0" borderId="7" xfId="2" applyNumberFormat="1" applyFont="1" applyFill="1" applyBorder="1" applyAlignment="1">
      <alignment vertical="center"/>
    </xf>
    <xf numFmtId="170" fontId="11" fillId="0" borderId="23" xfId="2" applyNumberFormat="1" applyFont="1" applyFill="1" applyBorder="1" applyAlignment="1">
      <alignment vertical="center"/>
    </xf>
    <xf numFmtId="0" fontId="7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4">
    <cellStyle name="Comma" xfId="2" builtinId="3"/>
    <cellStyle name="Comma 2" xfId="3" xr:uid="{00000000-0005-0000-0000-000001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5CBF-EF64-452A-B481-D01D236FF831}">
  <sheetPr>
    <pageSetUpPr fitToPage="1"/>
  </sheetPr>
  <dimension ref="A1:G43"/>
  <sheetViews>
    <sheetView tabSelected="1" zoomScale="130" zoomScaleNormal="130" workbookViewId="0">
      <pane xSplit="7" ySplit="4" topLeftCell="H26" activePane="bottomRight" state="frozen"/>
      <selection pane="topRight" activeCell="G938" sqref="G938"/>
      <selection pane="bottomLeft" activeCell="G938" sqref="G938"/>
      <selection pane="bottomRight" activeCell="C37" sqref="C37"/>
    </sheetView>
  </sheetViews>
  <sheetFormatPr defaultColWidth="9.140625" defaultRowHeight="13.5" x14ac:dyDescent="0.25"/>
  <cols>
    <col min="1" max="1" width="3.140625" style="29" customWidth="1"/>
    <col min="2" max="2" width="8.7109375" style="29" customWidth="1"/>
    <col min="3" max="3" width="60.85546875" style="1" customWidth="1"/>
    <col min="4" max="4" width="10.28515625" style="39" customWidth="1"/>
    <col min="5" max="5" width="7.42578125" style="1" customWidth="1"/>
    <col min="6" max="6" width="12.7109375" style="30" bestFit="1" customWidth="1"/>
    <col min="7" max="7" width="12.7109375" style="28" customWidth="1"/>
    <col min="8" max="16384" width="9.140625" style="1"/>
  </cols>
  <sheetData>
    <row r="1" spans="1:7" ht="16.5" thickBot="1" x14ac:dyDescent="0.3">
      <c r="A1" s="71" t="s">
        <v>0</v>
      </c>
      <c r="B1" s="72"/>
      <c r="C1" s="72"/>
      <c r="D1" s="72"/>
      <c r="E1" s="72"/>
      <c r="F1" s="72"/>
      <c r="G1" s="73"/>
    </row>
    <row r="2" spans="1:7" ht="16.5" customHeight="1" thickBot="1" x14ac:dyDescent="0.3">
      <c r="A2" s="74" t="s">
        <v>12</v>
      </c>
      <c r="B2" s="75"/>
      <c r="C2" s="75"/>
      <c r="D2" s="75"/>
      <c r="E2" s="75"/>
      <c r="F2" s="75"/>
      <c r="G2" s="76"/>
    </row>
    <row r="3" spans="1:7" ht="60.75" customHeight="1" thickBot="1" x14ac:dyDescent="0.3">
      <c r="A3" s="2"/>
      <c r="B3" s="66" t="s">
        <v>1</v>
      </c>
      <c r="C3" s="66"/>
      <c r="D3" s="67" t="s">
        <v>2</v>
      </c>
      <c r="E3" s="67"/>
      <c r="F3" s="3">
        <v>46204</v>
      </c>
      <c r="G3" s="4" t="s">
        <v>13</v>
      </c>
    </row>
    <row r="4" spans="1:7" ht="14.25" thickBot="1" x14ac:dyDescent="0.3">
      <c r="A4" s="5"/>
      <c r="B4" s="6"/>
      <c r="C4" s="7" t="s">
        <v>4</v>
      </c>
      <c r="D4" s="37" t="s">
        <v>5</v>
      </c>
      <c r="E4" s="8" t="s">
        <v>6</v>
      </c>
      <c r="F4" s="9" t="s">
        <v>7</v>
      </c>
      <c r="G4" s="10" t="s">
        <v>8</v>
      </c>
    </row>
    <row r="5" spans="1:7" ht="14.25" thickBot="1" x14ac:dyDescent="0.3">
      <c r="A5" s="11">
        <v>6</v>
      </c>
      <c r="B5" s="12"/>
      <c r="C5" s="17" t="s">
        <v>14</v>
      </c>
      <c r="D5" s="38"/>
      <c r="E5" s="13"/>
      <c r="F5" s="14">
        <f>SUM(G6:G34)</f>
        <v>0</v>
      </c>
      <c r="G5" s="15"/>
    </row>
    <row r="6" spans="1:7" ht="27" x14ac:dyDescent="0.25">
      <c r="A6" s="45"/>
      <c r="B6" s="32">
        <v>6.1</v>
      </c>
      <c r="C6" s="33" t="s">
        <v>15</v>
      </c>
      <c r="D6" s="46"/>
      <c r="E6" s="34"/>
      <c r="F6" s="35"/>
      <c r="G6" s="36"/>
    </row>
    <row r="7" spans="1:7" x14ac:dyDescent="0.25">
      <c r="A7" s="47"/>
      <c r="B7" s="31" t="s">
        <v>16</v>
      </c>
      <c r="C7" s="48" t="s">
        <v>17</v>
      </c>
      <c r="D7" s="49">
        <v>667</v>
      </c>
      <c r="E7" s="26" t="s">
        <v>10</v>
      </c>
      <c r="F7" s="27"/>
      <c r="G7" s="42">
        <f t="shared" ref="G7:G12" si="0">+F7*D7</f>
        <v>0</v>
      </c>
    </row>
    <row r="8" spans="1:7" x14ac:dyDescent="0.25">
      <c r="A8" s="47"/>
      <c r="B8" s="31" t="s">
        <v>18</v>
      </c>
      <c r="C8" s="48" t="s">
        <v>19</v>
      </c>
      <c r="D8" s="49">
        <v>1410</v>
      </c>
      <c r="E8" s="26" t="s">
        <v>10</v>
      </c>
      <c r="F8" s="27"/>
      <c r="G8" s="42">
        <f t="shared" si="0"/>
        <v>0</v>
      </c>
    </row>
    <row r="9" spans="1:7" x14ac:dyDescent="0.25">
      <c r="A9" s="47"/>
      <c r="B9" s="31" t="s">
        <v>20</v>
      </c>
      <c r="C9" s="48" t="s">
        <v>21</v>
      </c>
      <c r="D9" s="49">
        <v>27</v>
      </c>
      <c r="E9" s="26" t="s">
        <v>10</v>
      </c>
      <c r="F9" s="27"/>
      <c r="G9" s="42">
        <f t="shared" si="0"/>
        <v>0</v>
      </c>
    </row>
    <row r="10" spans="1:7" x14ac:dyDescent="0.25">
      <c r="A10" s="47"/>
      <c r="B10" s="31" t="s">
        <v>22</v>
      </c>
      <c r="C10" s="48" t="s">
        <v>23</v>
      </c>
      <c r="D10" s="49">
        <v>591</v>
      </c>
      <c r="E10" s="26" t="s">
        <v>10</v>
      </c>
      <c r="F10" s="27"/>
      <c r="G10" s="42">
        <f t="shared" si="0"/>
        <v>0</v>
      </c>
    </row>
    <row r="11" spans="1:7" x14ac:dyDescent="0.25">
      <c r="A11" s="47"/>
      <c r="B11" s="31" t="s">
        <v>24</v>
      </c>
      <c r="C11" s="48" t="s">
        <v>25</v>
      </c>
      <c r="D11" s="49">
        <v>30</v>
      </c>
      <c r="E11" s="26" t="s">
        <v>10</v>
      </c>
      <c r="F11" s="27"/>
      <c r="G11" s="42">
        <f t="shared" si="0"/>
        <v>0</v>
      </c>
    </row>
    <row r="12" spans="1:7" ht="27" x14ac:dyDescent="0.25">
      <c r="A12" s="47"/>
      <c r="B12" s="31" t="s">
        <v>26</v>
      </c>
      <c r="C12" s="48" t="s">
        <v>27</v>
      </c>
      <c r="D12" s="49"/>
      <c r="E12" s="26" t="s">
        <v>10</v>
      </c>
      <c r="F12" s="27"/>
      <c r="G12" s="42">
        <f t="shared" si="0"/>
        <v>0</v>
      </c>
    </row>
    <row r="13" spans="1:7" x14ac:dyDescent="0.25">
      <c r="A13" s="18"/>
      <c r="B13" s="16">
        <v>6.2</v>
      </c>
      <c r="C13" s="19" t="s">
        <v>28</v>
      </c>
      <c r="D13" s="40"/>
      <c r="E13" s="20"/>
      <c r="F13" s="21"/>
      <c r="G13" s="22"/>
    </row>
    <row r="14" spans="1:7" x14ac:dyDescent="0.25">
      <c r="A14" s="50"/>
      <c r="B14" s="31" t="s">
        <v>29</v>
      </c>
      <c r="C14" s="48" t="s">
        <v>30</v>
      </c>
      <c r="D14" s="49">
        <v>13</v>
      </c>
      <c r="E14" s="26" t="s">
        <v>11</v>
      </c>
      <c r="F14" s="27"/>
      <c r="G14" s="42">
        <f t="shared" ref="G14:G24" si="1">+F14*D14</f>
        <v>0</v>
      </c>
    </row>
    <row r="15" spans="1:7" x14ac:dyDescent="0.25">
      <c r="A15" s="50"/>
      <c r="B15" s="31" t="s">
        <v>31</v>
      </c>
      <c r="C15" s="51" t="s">
        <v>32</v>
      </c>
      <c r="D15" s="49">
        <v>34</v>
      </c>
      <c r="E15" s="26" t="s">
        <v>11</v>
      </c>
      <c r="F15" s="27"/>
      <c r="G15" s="42">
        <f t="shared" si="1"/>
        <v>0</v>
      </c>
    </row>
    <row r="16" spans="1:7" x14ac:dyDescent="0.25">
      <c r="A16" s="50"/>
      <c r="B16" s="31" t="s">
        <v>33</v>
      </c>
      <c r="C16" s="51" t="s">
        <v>34</v>
      </c>
      <c r="D16" s="49">
        <v>4</v>
      </c>
      <c r="E16" s="26" t="s">
        <v>11</v>
      </c>
      <c r="F16" s="27"/>
      <c r="G16" s="42">
        <f t="shared" si="1"/>
        <v>0</v>
      </c>
    </row>
    <row r="17" spans="1:7" x14ac:dyDescent="0.25">
      <c r="A17" s="18"/>
      <c r="B17" s="16">
        <v>6.3</v>
      </c>
      <c r="C17" s="19" t="s">
        <v>35</v>
      </c>
      <c r="D17" s="40"/>
      <c r="E17" s="20"/>
      <c r="F17" s="21"/>
      <c r="G17" s="22"/>
    </row>
    <row r="18" spans="1:7" x14ac:dyDescent="0.25">
      <c r="A18" s="50"/>
      <c r="B18" s="31" t="s">
        <v>36</v>
      </c>
      <c r="C18" s="51" t="s">
        <v>37</v>
      </c>
      <c r="D18" s="49">
        <v>7</v>
      </c>
      <c r="E18" s="26" t="s">
        <v>11</v>
      </c>
      <c r="F18" s="27"/>
      <c r="G18" s="42">
        <f t="shared" ref="G18" si="2">+F18*D18</f>
        <v>0</v>
      </c>
    </row>
    <row r="19" spans="1:7" x14ac:dyDescent="0.25">
      <c r="A19" s="50"/>
      <c r="B19" s="31" t="s">
        <v>38</v>
      </c>
      <c r="C19" s="48" t="s">
        <v>39</v>
      </c>
      <c r="D19" s="49">
        <v>3</v>
      </c>
      <c r="E19" s="26" t="s">
        <v>11</v>
      </c>
      <c r="F19" s="27"/>
      <c r="G19" s="42">
        <f>+F19*D19</f>
        <v>0</v>
      </c>
    </row>
    <row r="20" spans="1:7" x14ac:dyDescent="0.25">
      <c r="A20" s="18"/>
      <c r="B20" s="16">
        <v>6.4</v>
      </c>
      <c r="C20" s="19" t="s">
        <v>40</v>
      </c>
      <c r="D20" s="40"/>
      <c r="E20" s="20" t="s">
        <v>11</v>
      </c>
      <c r="F20" s="23"/>
      <c r="G20" s="24">
        <f t="shared" si="1"/>
        <v>0</v>
      </c>
    </row>
    <row r="21" spans="1:7" x14ac:dyDescent="0.25">
      <c r="A21" s="47"/>
      <c r="B21" s="31" t="s">
        <v>41</v>
      </c>
      <c r="C21" s="48" t="s">
        <v>42</v>
      </c>
      <c r="D21" s="49">
        <v>26</v>
      </c>
      <c r="E21" s="26" t="s">
        <v>11</v>
      </c>
      <c r="F21" s="27"/>
      <c r="G21" s="42">
        <f t="shared" si="1"/>
        <v>0</v>
      </c>
    </row>
    <row r="22" spans="1:7" x14ac:dyDescent="0.25">
      <c r="A22" s="47"/>
      <c r="B22" s="31" t="s">
        <v>43</v>
      </c>
      <c r="C22" s="48" t="s">
        <v>44</v>
      </c>
      <c r="D22" s="49">
        <v>21</v>
      </c>
      <c r="E22" s="26" t="s">
        <v>11</v>
      </c>
      <c r="F22" s="27"/>
      <c r="G22" s="42">
        <f t="shared" si="1"/>
        <v>0</v>
      </c>
    </row>
    <row r="23" spans="1:7" x14ac:dyDescent="0.25">
      <c r="A23" s="47"/>
      <c r="B23" s="31" t="s">
        <v>45</v>
      </c>
      <c r="C23" s="48" t="s">
        <v>46</v>
      </c>
      <c r="D23" s="49">
        <v>27</v>
      </c>
      <c r="E23" s="26" t="s">
        <v>11</v>
      </c>
      <c r="F23" s="27"/>
      <c r="G23" s="42">
        <f t="shared" si="1"/>
        <v>0</v>
      </c>
    </row>
    <row r="24" spans="1:7" x14ac:dyDescent="0.25">
      <c r="A24" s="47"/>
      <c r="B24" s="31" t="s">
        <v>47</v>
      </c>
      <c r="C24" s="48" t="s">
        <v>48</v>
      </c>
      <c r="D24" s="49">
        <v>12</v>
      </c>
      <c r="E24" s="26" t="s">
        <v>11</v>
      </c>
      <c r="F24" s="27"/>
      <c r="G24" s="42">
        <f t="shared" si="1"/>
        <v>0</v>
      </c>
    </row>
    <row r="25" spans="1:7" x14ac:dyDescent="0.25">
      <c r="A25" s="18"/>
      <c r="B25" s="25">
        <v>6.5</v>
      </c>
      <c r="C25" s="43" t="s">
        <v>49</v>
      </c>
      <c r="D25" s="40"/>
      <c r="E25" s="20"/>
      <c r="F25" s="23"/>
      <c r="G25" s="24"/>
    </row>
    <row r="26" spans="1:7" x14ac:dyDescent="0.25">
      <c r="A26" s="47"/>
      <c r="B26" s="31" t="s">
        <v>50</v>
      </c>
      <c r="C26" s="44" t="s">
        <v>51</v>
      </c>
      <c r="D26" s="52">
        <v>12</v>
      </c>
      <c r="E26" s="26" t="s">
        <v>11</v>
      </c>
      <c r="F26" s="27"/>
      <c r="G26" s="42">
        <f t="shared" ref="G26:G30" si="3">F26*D26</f>
        <v>0</v>
      </c>
    </row>
    <row r="27" spans="1:7" x14ac:dyDescent="0.25">
      <c r="A27" s="47"/>
      <c r="B27" s="31" t="s">
        <v>52</v>
      </c>
      <c r="C27" s="44" t="s">
        <v>53</v>
      </c>
      <c r="D27" s="52">
        <v>2</v>
      </c>
      <c r="E27" s="26" t="s">
        <v>11</v>
      </c>
      <c r="F27" s="27"/>
      <c r="G27" s="42">
        <f t="shared" si="3"/>
        <v>0</v>
      </c>
    </row>
    <row r="28" spans="1:7" x14ac:dyDescent="0.25">
      <c r="A28" s="47"/>
      <c r="B28" s="31" t="s">
        <v>54</v>
      </c>
      <c r="C28" s="44" t="s">
        <v>55</v>
      </c>
      <c r="D28" s="52">
        <v>1</v>
      </c>
      <c r="E28" s="26" t="s">
        <v>11</v>
      </c>
      <c r="F28" s="27"/>
      <c r="G28" s="42">
        <f t="shared" si="3"/>
        <v>0</v>
      </c>
    </row>
    <row r="29" spans="1:7" x14ac:dyDescent="0.25">
      <c r="A29" s="47"/>
      <c r="B29" s="31" t="s">
        <v>56</v>
      </c>
      <c r="C29" s="44" t="s">
        <v>57</v>
      </c>
      <c r="D29" s="49">
        <v>2</v>
      </c>
      <c r="E29" s="26" t="s">
        <v>11</v>
      </c>
      <c r="F29" s="27"/>
      <c r="G29" s="42">
        <f t="shared" si="3"/>
        <v>0</v>
      </c>
    </row>
    <row r="30" spans="1:7" x14ac:dyDescent="0.25">
      <c r="A30" s="47"/>
      <c r="B30" s="31" t="s">
        <v>58</v>
      </c>
      <c r="C30" s="44" t="s">
        <v>59</v>
      </c>
      <c r="D30" s="49">
        <v>2</v>
      </c>
      <c r="E30" s="26" t="s">
        <v>11</v>
      </c>
      <c r="F30" s="27"/>
      <c r="G30" s="42">
        <f t="shared" si="3"/>
        <v>0</v>
      </c>
    </row>
    <row r="31" spans="1:7" x14ac:dyDescent="0.25">
      <c r="A31" s="18"/>
      <c r="B31" s="25">
        <v>6.6</v>
      </c>
      <c r="C31" s="43" t="s">
        <v>60</v>
      </c>
      <c r="D31" s="40"/>
      <c r="E31" s="20"/>
      <c r="F31" s="23"/>
      <c r="G31" s="24"/>
    </row>
    <row r="32" spans="1:7" x14ac:dyDescent="0.25">
      <c r="A32" s="47"/>
      <c r="B32" s="53" t="s">
        <v>61</v>
      </c>
      <c r="C32" s="41" t="s">
        <v>62</v>
      </c>
      <c r="D32" s="49">
        <v>1</v>
      </c>
      <c r="E32" s="26" t="s">
        <v>9</v>
      </c>
      <c r="F32" s="54"/>
      <c r="G32" s="55">
        <f>+F32*D32</f>
        <v>0</v>
      </c>
    </row>
    <row r="33" spans="1:7" x14ac:dyDescent="0.25">
      <c r="A33" s="47"/>
      <c r="B33" s="53" t="s">
        <v>63</v>
      </c>
      <c r="C33" s="41" t="s">
        <v>64</v>
      </c>
      <c r="D33" s="49">
        <v>1</v>
      </c>
      <c r="E33" s="26" t="s">
        <v>9</v>
      </c>
      <c r="F33" s="54"/>
      <c r="G33" s="55">
        <f>+F33*D33</f>
        <v>0</v>
      </c>
    </row>
    <row r="34" spans="1:7" ht="14.25" thickBot="1" x14ac:dyDescent="0.3">
      <c r="A34" s="56"/>
      <c r="B34" s="57" t="s">
        <v>65</v>
      </c>
      <c r="C34" s="58" t="s">
        <v>66</v>
      </c>
      <c r="D34" s="59">
        <v>1</v>
      </c>
      <c r="E34" s="60" t="s">
        <v>9</v>
      </c>
      <c r="F34" s="61"/>
      <c r="G34" s="62">
        <f>+F34*D34</f>
        <v>0</v>
      </c>
    </row>
    <row r="35" spans="1:7" x14ac:dyDescent="0.25">
      <c r="D35" s="1"/>
      <c r="F35" s="1"/>
      <c r="G35" s="1"/>
    </row>
    <row r="36" spans="1:7" x14ac:dyDescent="0.25">
      <c r="D36" s="1"/>
      <c r="F36" s="1"/>
      <c r="G36" s="1"/>
    </row>
    <row r="37" spans="1:7" x14ac:dyDescent="0.25">
      <c r="D37" s="1"/>
      <c r="F37" s="1"/>
      <c r="G37" s="1"/>
    </row>
    <row r="38" spans="1:7" x14ac:dyDescent="0.25">
      <c r="D38" s="1"/>
      <c r="F38" s="1"/>
      <c r="G38" s="1"/>
    </row>
    <row r="39" spans="1:7" x14ac:dyDescent="0.25">
      <c r="D39" s="1"/>
      <c r="F39" s="1"/>
      <c r="G39" s="1"/>
    </row>
    <row r="40" spans="1:7" x14ac:dyDescent="0.25">
      <c r="D40" s="1"/>
      <c r="F40" s="1"/>
      <c r="G40" s="1"/>
    </row>
    <row r="41" spans="1:7" x14ac:dyDescent="0.25">
      <c r="D41" s="1"/>
      <c r="F41" s="1"/>
      <c r="G41" s="1"/>
    </row>
    <row r="42" spans="1:7" x14ac:dyDescent="0.25">
      <c r="D42" s="1"/>
      <c r="F42" s="1"/>
      <c r="G42" s="1"/>
    </row>
    <row r="43" spans="1:7" x14ac:dyDescent="0.25">
      <c r="D43" s="1"/>
      <c r="F43" s="1"/>
      <c r="G43" s="1"/>
    </row>
  </sheetData>
  <mergeCells count="4">
    <mergeCell ref="A1:G1"/>
    <mergeCell ref="A2:G2"/>
    <mergeCell ref="B3:C3"/>
    <mergeCell ref="D3:E3"/>
  </mergeCells>
  <phoneticPr fontId="3" type="noConversion"/>
  <pageMargins left="0.70866141732283472" right="0.31496062992125984" top="0.35433070866141736" bottom="0.35433070866141736" header="0" footer="0.19685039370078741"/>
  <pageSetup paperSize="8" fitToHeight="0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F517-FF5E-49C9-91F0-A8294199DC6D}">
  <sheetPr>
    <pageSetUpPr fitToPage="1"/>
  </sheetPr>
  <dimension ref="A1:G39"/>
  <sheetViews>
    <sheetView zoomScale="130" zoomScaleNormal="130" workbookViewId="0">
      <pane xSplit="7" ySplit="4" topLeftCell="H5" activePane="bottomRight" state="frozen"/>
      <selection pane="topRight" activeCell="G938" sqref="G938"/>
      <selection pane="bottomLeft" activeCell="G938" sqref="G938"/>
      <selection pane="bottomRight" activeCell="A33" sqref="A33:XFD164"/>
    </sheetView>
  </sheetViews>
  <sheetFormatPr defaultColWidth="9.140625" defaultRowHeight="13.5" x14ac:dyDescent="0.25"/>
  <cols>
    <col min="1" max="1" width="3.140625" style="29" customWidth="1"/>
    <col min="2" max="2" width="8.7109375" style="29" customWidth="1"/>
    <col min="3" max="3" width="60.85546875" style="1" customWidth="1"/>
    <col min="4" max="4" width="10.28515625" style="39" customWidth="1"/>
    <col min="5" max="5" width="7.42578125" style="1" customWidth="1"/>
    <col min="6" max="6" width="12.7109375" style="30" bestFit="1" customWidth="1"/>
    <col min="7" max="7" width="12.7109375" style="28" customWidth="1"/>
    <col min="8" max="16384" width="9.140625" style="1"/>
  </cols>
  <sheetData>
    <row r="1" spans="1:7" ht="15.75" customHeight="1" thickBot="1" x14ac:dyDescent="0.3">
      <c r="A1" s="71" t="s">
        <v>0</v>
      </c>
      <c r="B1" s="72"/>
      <c r="C1" s="72"/>
      <c r="D1" s="72"/>
      <c r="E1" s="72"/>
      <c r="F1" s="72"/>
      <c r="G1" s="73"/>
    </row>
    <row r="2" spans="1:7" ht="15.75" customHeight="1" thickBot="1" x14ac:dyDescent="0.3">
      <c r="A2" s="68" t="s">
        <v>67</v>
      </c>
      <c r="B2" s="69"/>
      <c r="C2" s="69"/>
      <c r="D2" s="69"/>
      <c r="E2" s="69"/>
      <c r="F2" s="69"/>
      <c r="G2" s="70"/>
    </row>
    <row r="3" spans="1:7" ht="60.75" customHeight="1" thickBot="1" x14ac:dyDescent="0.3">
      <c r="A3" s="2"/>
      <c r="B3" s="66" t="s">
        <v>1</v>
      </c>
      <c r="C3" s="66"/>
      <c r="D3" s="67" t="s">
        <v>2</v>
      </c>
      <c r="E3" s="67"/>
      <c r="F3" s="3">
        <v>46204</v>
      </c>
      <c r="G3" s="4" t="s">
        <v>3</v>
      </c>
    </row>
    <row r="4" spans="1:7" ht="14.25" thickBot="1" x14ac:dyDescent="0.3">
      <c r="A4" s="5"/>
      <c r="B4" s="6"/>
      <c r="C4" s="7" t="s">
        <v>4</v>
      </c>
      <c r="D4" s="37" t="s">
        <v>5</v>
      </c>
      <c r="E4" s="8" t="s">
        <v>6</v>
      </c>
      <c r="F4" s="9" t="s">
        <v>7</v>
      </c>
      <c r="G4" s="10" t="s">
        <v>8</v>
      </c>
    </row>
    <row r="5" spans="1:7" ht="14.25" thickBot="1" x14ac:dyDescent="0.3">
      <c r="A5" s="11">
        <v>6</v>
      </c>
      <c r="B5" s="12"/>
      <c r="C5" s="17" t="s">
        <v>14</v>
      </c>
      <c r="D5" s="38"/>
      <c r="E5" s="13"/>
      <c r="F5" s="14">
        <f>SUM(G6:G32)</f>
        <v>0</v>
      </c>
      <c r="G5" s="15"/>
    </row>
    <row r="6" spans="1:7" ht="27" x14ac:dyDescent="0.25">
      <c r="A6" s="45"/>
      <c r="B6" s="32">
        <v>6.1</v>
      </c>
      <c r="C6" s="33" t="s">
        <v>15</v>
      </c>
      <c r="D6" s="46"/>
      <c r="E6" s="34"/>
      <c r="F6" s="35"/>
      <c r="G6" s="36"/>
    </row>
    <row r="7" spans="1:7" x14ac:dyDescent="0.25">
      <c r="A7" s="47"/>
      <c r="B7" s="31" t="s">
        <v>16</v>
      </c>
      <c r="C7" s="48" t="s">
        <v>17</v>
      </c>
      <c r="D7" s="63">
        <v>1011</v>
      </c>
      <c r="E7" s="26" t="s">
        <v>10</v>
      </c>
      <c r="F7" s="27"/>
      <c r="G7" s="42">
        <f>+F7*D7</f>
        <v>0</v>
      </c>
    </row>
    <row r="8" spans="1:7" x14ac:dyDescent="0.25">
      <c r="A8" s="47"/>
      <c r="B8" s="31" t="s">
        <v>18</v>
      </c>
      <c r="C8" s="48" t="s">
        <v>19</v>
      </c>
      <c r="D8" s="63">
        <v>554</v>
      </c>
      <c r="E8" s="26" t="s">
        <v>10</v>
      </c>
      <c r="F8" s="27"/>
      <c r="G8" s="42">
        <f>+F8*D8</f>
        <v>0</v>
      </c>
    </row>
    <row r="9" spans="1:7" x14ac:dyDescent="0.25">
      <c r="A9" s="47"/>
      <c r="B9" s="31" t="s">
        <v>20</v>
      </c>
      <c r="C9" s="48" t="s">
        <v>68</v>
      </c>
      <c r="D9" s="63">
        <v>165</v>
      </c>
      <c r="E9" s="26" t="s">
        <v>10</v>
      </c>
      <c r="F9" s="27"/>
      <c r="G9" s="42">
        <f>+F9*D9</f>
        <v>0</v>
      </c>
    </row>
    <row r="10" spans="1:7" ht="27" x14ac:dyDescent="0.25">
      <c r="A10" s="47"/>
      <c r="B10" s="31" t="s">
        <v>22</v>
      </c>
      <c r="C10" s="48" t="s">
        <v>27</v>
      </c>
      <c r="D10" s="63"/>
      <c r="E10" s="26" t="s">
        <v>10</v>
      </c>
      <c r="F10" s="27"/>
      <c r="G10" s="42">
        <f>+F10*D10</f>
        <v>0</v>
      </c>
    </row>
    <row r="11" spans="1:7" x14ac:dyDescent="0.25">
      <c r="A11" s="18"/>
      <c r="B11" s="16">
        <v>6.2</v>
      </c>
      <c r="C11" s="19" t="s">
        <v>28</v>
      </c>
      <c r="D11" s="40"/>
      <c r="E11" s="20"/>
      <c r="F11" s="21"/>
      <c r="G11" s="22"/>
    </row>
    <row r="12" spans="1:7" x14ac:dyDescent="0.25">
      <c r="A12" s="50"/>
      <c r="B12" s="31" t="s">
        <v>29</v>
      </c>
      <c r="C12" s="48" t="s">
        <v>30</v>
      </c>
      <c r="D12" s="63">
        <v>18</v>
      </c>
      <c r="E12" s="26" t="s">
        <v>11</v>
      </c>
      <c r="F12" s="27"/>
      <c r="G12" s="42">
        <f t="shared" ref="G12:G21" si="0">+F12*D12</f>
        <v>0</v>
      </c>
    </row>
    <row r="13" spans="1:7" x14ac:dyDescent="0.25">
      <c r="A13" s="50"/>
      <c r="B13" s="31" t="s">
        <v>31</v>
      </c>
      <c r="C13" s="51" t="s">
        <v>32</v>
      </c>
      <c r="D13" s="63">
        <v>12</v>
      </c>
      <c r="E13" s="26" t="s">
        <v>11</v>
      </c>
      <c r="F13" s="27"/>
      <c r="G13" s="42">
        <f t="shared" si="0"/>
        <v>0</v>
      </c>
    </row>
    <row r="14" spans="1:7" x14ac:dyDescent="0.25">
      <c r="A14" s="50"/>
      <c r="B14" s="31" t="s">
        <v>33</v>
      </c>
      <c r="C14" s="51" t="s">
        <v>34</v>
      </c>
      <c r="D14" s="63">
        <v>3</v>
      </c>
      <c r="E14" s="26" t="s">
        <v>11</v>
      </c>
      <c r="F14" s="27"/>
      <c r="G14" s="42">
        <f t="shared" si="0"/>
        <v>0</v>
      </c>
    </row>
    <row r="15" spans="1:7" x14ac:dyDescent="0.25">
      <c r="A15" s="18"/>
      <c r="B15" s="16">
        <v>6.3</v>
      </c>
      <c r="C15" s="19" t="s">
        <v>35</v>
      </c>
      <c r="D15" s="40"/>
      <c r="E15" s="20"/>
      <c r="F15" s="21"/>
      <c r="G15" s="22"/>
    </row>
    <row r="16" spans="1:7" x14ac:dyDescent="0.25">
      <c r="A16" s="50"/>
      <c r="B16" s="31" t="s">
        <v>36</v>
      </c>
      <c r="C16" s="51" t="s">
        <v>37</v>
      </c>
      <c r="D16" s="63">
        <v>10</v>
      </c>
      <c r="E16" s="26" t="s">
        <v>11</v>
      </c>
      <c r="F16" s="27"/>
      <c r="G16" s="42">
        <f t="shared" ref="G16" si="1">+F16*D16</f>
        <v>0</v>
      </c>
    </row>
    <row r="17" spans="1:7" x14ac:dyDescent="0.25">
      <c r="A17" s="50"/>
      <c r="B17" s="31" t="s">
        <v>38</v>
      </c>
      <c r="C17" s="48" t="s">
        <v>39</v>
      </c>
      <c r="D17" s="63">
        <v>1</v>
      </c>
      <c r="E17" s="26" t="s">
        <v>11</v>
      </c>
      <c r="F17" s="27"/>
      <c r="G17" s="42">
        <f>+F17*D17</f>
        <v>0</v>
      </c>
    </row>
    <row r="18" spans="1:7" x14ac:dyDescent="0.25">
      <c r="A18" s="18"/>
      <c r="B18" s="16">
        <v>6.4</v>
      </c>
      <c r="C18" s="19" t="s">
        <v>69</v>
      </c>
      <c r="D18" s="40"/>
      <c r="E18" s="20" t="s">
        <v>11</v>
      </c>
      <c r="F18" s="23"/>
      <c r="G18" s="24">
        <f t="shared" si="0"/>
        <v>0</v>
      </c>
    </row>
    <row r="19" spans="1:7" x14ac:dyDescent="0.25">
      <c r="A19" s="47"/>
      <c r="B19" s="31" t="s">
        <v>41</v>
      </c>
      <c r="C19" s="48" t="s">
        <v>42</v>
      </c>
      <c r="D19" s="63">
        <v>27</v>
      </c>
      <c r="E19" s="26" t="s">
        <v>11</v>
      </c>
      <c r="F19" s="27"/>
      <c r="G19" s="42">
        <f t="shared" si="0"/>
        <v>0</v>
      </c>
    </row>
    <row r="20" spans="1:7" x14ac:dyDescent="0.25">
      <c r="A20" s="47"/>
      <c r="B20" s="31" t="s">
        <v>43</v>
      </c>
      <c r="C20" s="48" t="s">
        <v>44</v>
      </c>
      <c r="D20" s="63">
        <v>27</v>
      </c>
      <c r="E20" s="26" t="s">
        <v>11</v>
      </c>
      <c r="F20" s="27"/>
      <c r="G20" s="42">
        <f t="shared" si="0"/>
        <v>0</v>
      </c>
    </row>
    <row r="21" spans="1:7" x14ac:dyDescent="0.25">
      <c r="A21" s="47"/>
      <c r="B21" s="31" t="s">
        <v>45</v>
      </c>
      <c r="C21" s="48" t="s">
        <v>46</v>
      </c>
      <c r="D21" s="63">
        <v>11</v>
      </c>
      <c r="E21" s="26" t="s">
        <v>11</v>
      </c>
      <c r="F21" s="27"/>
      <c r="G21" s="42">
        <f t="shared" si="0"/>
        <v>0</v>
      </c>
    </row>
    <row r="22" spans="1:7" x14ac:dyDescent="0.25">
      <c r="A22" s="18"/>
      <c r="B22" s="25">
        <v>6.5</v>
      </c>
      <c r="C22" s="43" t="s">
        <v>49</v>
      </c>
      <c r="D22" s="40"/>
      <c r="E22" s="20"/>
      <c r="F22" s="23"/>
      <c r="G22" s="24"/>
    </row>
    <row r="23" spans="1:7" x14ac:dyDescent="0.25">
      <c r="A23" s="47"/>
      <c r="B23" s="31" t="s">
        <v>50</v>
      </c>
      <c r="C23" s="44" t="s">
        <v>51</v>
      </c>
      <c r="D23" s="64">
        <v>18</v>
      </c>
      <c r="E23" s="26" t="s">
        <v>11</v>
      </c>
      <c r="F23" s="27"/>
      <c r="G23" s="42">
        <f t="shared" ref="G23:G28" si="2">F23*D23</f>
        <v>0</v>
      </c>
    </row>
    <row r="24" spans="1:7" x14ac:dyDescent="0.25">
      <c r="A24" s="47"/>
      <c r="B24" s="31" t="s">
        <v>52</v>
      </c>
      <c r="C24" s="44" t="s">
        <v>53</v>
      </c>
      <c r="D24" s="64">
        <v>5</v>
      </c>
      <c r="E24" s="26" t="s">
        <v>11</v>
      </c>
      <c r="F24" s="27"/>
      <c r="G24" s="42">
        <f t="shared" si="2"/>
        <v>0</v>
      </c>
    </row>
    <row r="25" spans="1:7" x14ac:dyDescent="0.25">
      <c r="A25" s="47"/>
      <c r="B25" s="31" t="s">
        <v>54</v>
      </c>
      <c r="C25" s="44" t="s">
        <v>55</v>
      </c>
      <c r="D25" s="64">
        <v>3</v>
      </c>
      <c r="E25" s="26" t="s">
        <v>11</v>
      </c>
      <c r="F25" s="27"/>
      <c r="G25" s="42">
        <f t="shared" si="2"/>
        <v>0</v>
      </c>
    </row>
    <row r="26" spans="1:7" x14ac:dyDescent="0.25">
      <c r="A26" s="47"/>
      <c r="B26" s="31" t="s">
        <v>56</v>
      </c>
      <c r="C26" s="44" t="s">
        <v>70</v>
      </c>
      <c r="D26" s="63">
        <v>2</v>
      </c>
      <c r="E26" s="26" t="s">
        <v>11</v>
      </c>
      <c r="F26" s="27"/>
      <c r="G26" s="42">
        <f t="shared" si="2"/>
        <v>0</v>
      </c>
    </row>
    <row r="27" spans="1:7" x14ac:dyDescent="0.25">
      <c r="A27" s="47"/>
      <c r="B27" s="31" t="s">
        <v>58</v>
      </c>
      <c r="C27" s="44" t="s">
        <v>57</v>
      </c>
      <c r="D27" s="63">
        <v>1</v>
      </c>
      <c r="E27" s="26" t="s">
        <v>11</v>
      </c>
      <c r="F27" s="27"/>
      <c r="G27" s="42">
        <f t="shared" si="2"/>
        <v>0</v>
      </c>
    </row>
    <row r="28" spans="1:7" x14ac:dyDescent="0.25">
      <c r="A28" s="47"/>
      <c r="B28" s="31" t="s">
        <v>56</v>
      </c>
      <c r="C28" s="44" t="s">
        <v>59</v>
      </c>
      <c r="D28" s="63">
        <v>2</v>
      </c>
      <c r="E28" s="26" t="s">
        <v>11</v>
      </c>
      <c r="F28" s="27"/>
      <c r="G28" s="42">
        <f t="shared" si="2"/>
        <v>0</v>
      </c>
    </row>
    <row r="29" spans="1:7" x14ac:dyDescent="0.25">
      <c r="A29" s="18"/>
      <c r="B29" s="25">
        <v>6.6</v>
      </c>
      <c r="C29" s="43" t="s">
        <v>60</v>
      </c>
      <c r="D29" s="40"/>
      <c r="E29" s="20"/>
      <c r="F29" s="23"/>
      <c r="G29" s="24"/>
    </row>
    <row r="30" spans="1:7" x14ac:dyDescent="0.25">
      <c r="A30" s="47"/>
      <c r="B30" s="53" t="s">
        <v>61</v>
      </c>
      <c r="C30" s="41" t="s">
        <v>62</v>
      </c>
      <c r="D30" s="63">
        <v>1</v>
      </c>
      <c r="E30" s="26" t="s">
        <v>11</v>
      </c>
      <c r="F30" s="54"/>
      <c r="G30" s="55">
        <f>+F30*D30</f>
        <v>0</v>
      </c>
    </row>
    <row r="31" spans="1:7" x14ac:dyDescent="0.25">
      <c r="A31" s="47"/>
      <c r="B31" s="53" t="s">
        <v>63</v>
      </c>
      <c r="C31" s="41" t="s">
        <v>64</v>
      </c>
      <c r="D31" s="63">
        <v>1</v>
      </c>
      <c r="E31" s="26" t="s">
        <v>9</v>
      </c>
      <c r="F31" s="54"/>
      <c r="G31" s="55">
        <f>+F31*D31</f>
        <v>0</v>
      </c>
    </row>
    <row r="32" spans="1:7" ht="14.25" thickBot="1" x14ac:dyDescent="0.3">
      <c r="A32" s="56"/>
      <c r="B32" s="57" t="s">
        <v>65</v>
      </c>
      <c r="C32" s="58" t="s">
        <v>66</v>
      </c>
      <c r="D32" s="65">
        <v>1</v>
      </c>
      <c r="E32" s="60" t="s">
        <v>9</v>
      </c>
      <c r="F32" s="61"/>
      <c r="G32" s="62">
        <f>+F32*D32</f>
        <v>0</v>
      </c>
    </row>
    <row r="34" spans="4:7" x14ac:dyDescent="0.25">
      <c r="D34" s="1"/>
      <c r="F34" s="1"/>
      <c r="G34" s="1"/>
    </row>
    <row r="35" spans="4:7" x14ac:dyDescent="0.25">
      <c r="D35" s="1"/>
      <c r="F35" s="1"/>
      <c r="G35" s="1"/>
    </row>
    <row r="36" spans="4:7" x14ac:dyDescent="0.25">
      <c r="D36" s="1"/>
      <c r="F36" s="1"/>
      <c r="G36" s="1"/>
    </row>
    <row r="37" spans="4:7" x14ac:dyDescent="0.25">
      <c r="D37" s="1"/>
      <c r="F37" s="1"/>
      <c r="G37" s="1"/>
    </row>
    <row r="38" spans="4:7" x14ac:dyDescent="0.25">
      <c r="D38" s="1"/>
      <c r="F38" s="1"/>
      <c r="G38" s="1"/>
    </row>
    <row r="39" spans="4:7" x14ac:dyDescent="0.25">
      <c r="D39" s="1"/>
      <c r="F39" s="1"/>
      <c r="G39" s="1"/>
    </row>
  </sheetData>
  <mergeCells count="4">
    <mergeCell ref="B3:C3"/>
    <mergeCell ref="D3:E3"/>
    <mergeCell ref="A2:G2"/>
    <mergeCell ref="A1:G1"/>
  </mergeCells>
  <phoneticPr fontId="3" type="noConversion"/>
  <pageMargins left="0.70866141732283472" right="0.31496062992125984" top="0.35433070866141736" bottom="0.35433070866141736" header="0" footer="0.19685039370078741"/>
  <pageSetup paperSize="8" fitToHeight="0" orientation="portrait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7206-0254-453D-97F1-025D022D128E}">
  <dimension ref="A1:AJ46"/>
  <sheetViews>
    <sheetView workbookViewId="0">
      <selection activeCell="G43" sqref="G43"/>
    </sheetView>
  </sheetViews>
  <sheetFormatPr defaultRowHeight="15" x14ac:dyDescent="0.25"/>
  <cols>
    <col min="1" max="1" width="14.28515625" bestFit="1" customWidth="1"/>
  </cols>
  <sheetData>
    <row r="1" spans="1:36" x14ac:dyDescent="0.25">
      <c r="A1" t="s">
        <v>71</v>
      </c>
      <c r="AJ1" t="s">
        <v>8</v>
      </c>
    </row>
    <row r="2" spans="1:36" x14ac:dyDescent="0.25">
      <c r="A2" t="s">
        <v>72</v>
      </c>
    </row>
    <row r="3" spans="1:36" x14ac:dyDescent="0.25">
      <c r="A3">
        <v>900</v>
      </c>
      <c r="B3">
        <v>13.554</v>
      </c>
      <c r="C3">
        <v>13.554</v>
      </c>
      <c r="D3">
        <v>40.08</v>
      </c>
      <c r="E3">
        <v>40.08</v>
      </c>
      <c r="F3">
        <v>5.9370000000000003</v>
      </c>
      <c r="G3">
        <v>4.6900000000000004</v>
      </c>
      <c r="AJ3">
        <f>SUM(B3:AI3)</f>
        <v>117.895</v>
      </c>
    </row>
    <row r="4" spans="1:36" x14ac:dyDescent="0.25">
      <c r="A4">
        <f>A3-75</f>
        <v>825</v>
      </c>
      <c r="B4">
        <v>37.573999999999998</v>
      </c>
      <c r="AJ4">
        <f t="shared" ref="AJ4:AJ46" si="0">SUM(B4:AI4)</f>
        <v>37.573999999999998</v>
      </c>
    </row>
    <row r="5" spans="1:36" x14ac:dyDescent="0.25">
      <c r="A5">
        <f t="shared" ref="A5:A10" si="1">A4-75</f>
        <v>750</v>
      </c>
      <c r="B5">
        <v>9.1829999999999998</v>
      </c>
      <c r="C5">
        <v>10.71</v>
      </c>
      <c r="AJ5">
        <f t="shared" si="0"/>
        <v>19.893000000000001</v>
      </c>
    </row>
    <row r="6" spans="1:36" x14ac:dyDescent="0.25">
      <c r="A6">
        <f t="shared" si="1"/>
        <v>675</v>
      </c>
      <c r="B6">
        <v>34.387999999999998</v>
      </c>
      <c r="AJ6">
        <f t="shared" si="0"/>
        <v>34.387999999999998</v>
      </c>
    </row>
    <row r="7" spans="1:36" x14ac:dyDescent="0.25">
      <c r="A7">
        <f t="shared" si="1"/>
        <v>600</v>
      </c>
      <c r="B7">
        <v>65.483999999999995</v>
      </c>
      <c r="C7">
        <v>16.376999999999999</v>
      </c>
      <c r="D7">
        <v>29.983000000000001</v>
      </c>
      <c r="E7">
        <v>27.611999999999998</v>
      </c>
      <c r="F7">
        <v>50.76</v>
      </c>
      <c r="G7">
        <v>24.759</v>
      </c>
      <c r="H7">
        <v>19.669</v>
      </c>
      <c r="I7">
        <v>20.382999999999999</v>
      </c>
      <c r="J7">
        <v>15.699</v>
      </c>
      <c r="K7">
        <v>13.27</v>
      </c>
      <c r="L7">
        <v>24.975000000000001</v>
      </c>
      <c r="AJ7">
        <f t="shared" si="0"/>
        <v>308.971</v>
      </c>
    </row>
    <row r="8" spans="1:36" x14ac:dyDescent="0.25">
      <c r="A8">
        <f t="shared" si="1"/>
        <v>525</v>
      </c>
      <c r="B8">
        <v>50.328000000000003</v>
      </c>
      <c r="C8">
        <v>47.872999999999998</v>
      </c>
      <c r="D8">
        <v>8.4659999999999993</v>
      </c>
      <c r="E8">
        <v>4.806</v>
      </c>
      <c r="F8">
        <v>41.83</v>
      </c>
      <c r="G8">
        <v>9.9749999999999996</v>
      </c>
      <c r="H8">
        <v>14.842000000000001</v>
      </c>
      <c r="I8">
        <v>45.832000000000001</v>
      </c>
      <c r="J8">
        <v>8.0109999999999992</v>
      </c>
      <c r="K8">
        <v>38.948999999999998</v>
      </c>
      <c r="L8">
        <v>40.508000000000003</v>
      </c>
      <c r="AJ8">
        <f t="shared" si="0"/>
        <v>311.41999999999996</v>
      </c>
    </row>
    <row r="9" spans="1:36" x14ac:dyDescent="0.25">
      <c r="A9">
        <f>A8-75</f>
        <v>450</v>
      </c>
      <c r="B9">
        <v>36.277000000000001</v>
      </c>
      <c r="C9">
        <v>13.487</v>
      </c>
      <c r="D9">
        <v>41.976999999999997</v>
      </c>
      <c r="E9">
        <v>43.162999999999997</v>
      </c>
      <c r="F9">
        <v>28.614999999999998</v>
      </c>
      <c r="AJ9">
        <f t="shared" si="0"/>
        <v>163.51900000000001</v>
      </c>
    </row>
    <row r="10" spans="1:36" x14ac:dyDescent="0.25">
      <c r="A10">
        <f t="shared" si="1"/>
        <v>375</v>
      </c>
      <c r="B10">
        <v>13.692</v>
      </c>
      <c r="C10">
        <v>11.138999999999999</v>
      </c>
      <c r="D10">
        <v>11.359</v>
      </c>
      <c r="E10">
        <v>10.007</v>
      </c>
      <c r="F10">
        <v>34.558</v>
      </c>
      <c r="G10">
        <v>9.3330000000000002</v>
      </c>
      <c r="H10">
        <v>28.373999999999999</v>
      </c>
      <c r="I10">
        <v>14.340999999999999</v>
      </c>
      <c r="J10">
        <v>12.225</v>
      </c>
      <c r="K10">
        <v>9.6869999999999994</v>
      </c>
      <c r="L10">
        <v>8.0109999999999992</v>
      </c>
      <c r="M10">
        <v>28.181999999999999</v>
      </c>
      <c r="N10">
        <v>22.651</v>
      </c>
      <c r="O10">
        <v>22.516999999999999</v>
      </c>
      <c r="P10">
        <v>9.5990000000000002</v>
      </c>
      <c r="Q10">
        <v>9.6029999999999998</v>
      </c>
      <c r="R10">
        <v>31.123999999999999</v>
      </c>
      <c r="S10">
        <v>12.83</v>
      </c>
      <c r="T10">
        <v>10.631</v>
      </c>
      <c r="U10">
        <v>9.7910000000000004</v>
      </c>
      <c r="V10">
        <v>9.0389999999999997</v>
      </c>
      <c r="W10">
        <v>9.9350000000000005</v>
      </c>
      <c r="X10">
        <v>20.635000000000002</v>
      </c>
      <c r="Y10">
        <v>28.166</v>
      </c>
      <c r="Z10">
        <v>18.984999999999999</v>
      </c>
      <c r="AA10">
        <v>12.132999999999999</v>
      </c>
      <c r="AB10">
        <v>40.671999999999997</v>
      </c>
      <c r="AC10">
        <v>40.82</v>
      </c>
      <c r="AD10">
        <v>11.606</v>
      </c>
      <c r="AE10">
        <v>38.363</v>
      </c>
      <c r="AF10">
        <v>8.0310000000000006</v>
      </c>
      <c r="AG10">
        <v>13.714</v>
      </c>
      <c r="AH10">
        <v>12.742000000000001</v>
      </c>
      <c r="AJ10">
        <f t="shared" si="0"/>
        <v>584.49499999999989</v>
      </c>
    </row>
    <row r="12" spans="1:36" x14ac:dyDescent="0.25">
      <c r="A12" t="s">
        <v>73</v>
      </c>
    </row>
    <row r="13" spans="1:36" x14ac:dyDescent="0.25">
      <c r="A13">
        <v>300</v>
      </c>
      <c r="B13">
        <v>13.042999999999999</v>
      </c>
      <c r="C13">
        <v>34.027999999999999</v>
      </c>
      <c r="D13">
        <v>22.356999999999999</v>
      </c>
      <c r="E13">
        <v>56.006999999999998</v>
      </c>
      <c r="F13">
        <v>35.213999999999999</v>
      </c>
      <c r="G13">
        <v>25</v>
      </c>
      <c r="H13">
        <v>25.01</v>
      </c>
      <c r="I13">
        <v>11.938000000000001</v>
      </c>
      <c r="J13">
        <v>27.773</v>
      </c>
      <c r="AJ13">
        <f t="shared" si="0"/>
        <v>250.36999999999998</v>
      </c>
    </row>
    <row r="14" spans="1:36" x14ac:dyDescent="0.25">
      <c r="A14">
        <v>225</v>
      </c>
      <c r="B14">
        <v>9.8970000000000002</v>
      </c>
      <c r="C14">
        <v>8.8239999999999998</v>
      </c>
      <c r="D14">
        <v>43.426000000000002</v>
      </c>
      <c r="E14">
        <v>4.0720000000000001</v>
      </c>
      <c r="F14">
        <v>27</v>
      </c>
      <c r="G14">
        <v>6.6589999999999998</v>
      </c>
      <c r="H14">
        <v>7.3769999999999998</v>
      </c>
      <c r="I14">
        <v>26.975999999999999</v>
      </c>
      <c r="AJ14">
        <f t="shared" si="0"/>
        <v>134.23099999999999</v>
      </c>
    </row>
    <row r="15" spans="1:36" x14ac:dyDescent="0.25">
      <c r="A15">
        <v>200</v>
      </c>
      <c r="B15">
        <v>27.146000000000001</v>
      </c>
      <c r="C15">
        <v>25.327000000000002</v>
      </c>
      <c r="D15">
        <v>35.350999999999999</v>
      </c>
      <c r="E15">
        <v>35.045000000000002</v>
      </c>
      <c r="AJ15">
        <f t="shared" si="0"/>
        <v>122.869</v>
      </c>
    </row>
    <row r="16" spans="1:36" x14ac:dyDescent="0.25">
      <c r="A16">
        <v>150</v>
      </c>
      <c r="B16">
        <v>23.143999999999998</v>
      </c>
      <c r="C16">
        <v>46.863</v>
      </c>
      <c r="D16">
        <v>31.318000000000001</v>
      </c>
      <c r="E16">
        <v>25.004999999999999</v>
      </c>
      <c r="AJ16">
        <f t="shared" si="0"/>
        <v>126.33</v>
      </c>
    </row>
    <row r="17" spans="1:36" x14ac:dyDescent="0.25">
      <c r="A17">
        <v>100</v>
      </c>
      <c r="B17">
        <v>31.155999999999999</v>
      </c>
      <c r="AJ17">
        <f t="shared" si="0"/>
        <v>31.155999999999999</v>
      </c>
    </row>
    <row r="23" spans="1:36" x14ac:dyDescent="0.25">
      <c r="A23" t="s">
        <v>74</v>
      </c>
    </row>
    <row r="24" spans="1:36" x14ac:dyDescent="0.25">
      <c r="A24" t="s">
        <v>72</v>
      </c>
    </row>
    <row r="25" spans="1:36" x14ac:dyDescent="0.25">
      <c r="A25">
        <v>900</v>
      </c>
    </row>
    <row r="26" spans="1:36" x14ac:dyDescent="0.25">
      <c r="A26">
        <f>A25-75</f>
        <v>825</v>
      </c>
    </row>
    <row r="27" spans="1:36" x14ac:dyDescent="0.25">
      <c r="A27">
        <f t="shared" ref="A27:A30" si="2">A26-75</f>
        <v>750</v>
      </c>
      <c r="B27">
        <v>88.331999999999994</v>
      </c>
      <c r="C27">
        <v>50.213999999999999</v>
      </c>
      <c r="D27">
        <v>13.211</v>
      </c>
      <c r="E27">
        <v>30.077000000000002</v>
      </c>
      <c r="F27">
        <v>14.417</v>
      </c>
      <c r="G27">
        <v>14.417</v>
      </c>
      <c r="H27">
        <v>41.866999999999997</v>
      </c>
      <c r="AJ27">
        <f t="shared" si="0"/>
        <v>252.535</v>
      </c>
    </row>
    <row r="28" spans="1:36" x14ac:dyDescent="0.25">
      <c r="A28">
        <f t="shared" si="2"/>
        <v>675</v>
      </c>
    </row>
    <row r="29" spans="1:36" x14ac:dyDescent="0.25">
      <c r="A29">
        <f t="shared" si="2"/>
        <v>600</v>
      </c>
      <c r="B29">
        <v>9.7680000000000007</v>
      </c>
      <c r="C29">
        <v>9.7680000000000007</v>
      </c>
      <c r="D29">
        <v>10.35</v>
      </c>
      <c r="E29">
        <v>10.35</v>
      </c>
      <c r="F29">
        <v>8.7590000000000003</v>
      </c>
      <c r="G29">
        <v>8.7590000000000003</v>
      </c>
      <c r="H29">
        <v>16.515999999999998</v>
      </c>
      <c r="I29">
        <v>28.535</v>
      </c>
      <c r="J29">
        <v>28.117999999999999</v>
      </c>
      <c r="K29">
        <v>41.502000000000002</v>
      </c>
      <c r="L29">
        <v>7.7569999999999997</v>
      </c>
      <c r="M29">
        <v>7.7569999999999997</v>
      </c>
      <c r="N29">
        <v>8.01</v>
      </c>
      <c r="O29">
        <v>8.01</v>
      </c>
      <c r="AJ29">
        <f t="shared" si="0"/>
        <v>203.959</v>
      </c>
    </row>
    <row r="30" spans="1:36" x14ac:dyDescent="0.25">
      <c r="A30">
        <f t="shared" si="2"/>
        <v>525</v>
      </c>
      <c r="B30">
        <v>44.728999999999999</v>
      </c>
      <c r="AJ30">
        <f t="shared" si="0"/>
        <v>44.728999999999999</v>
      </c>
    </row>
    <row r="31" spans="1:36" x14ac:dyDescent="0.25">
      <c r="A31">
        <f>A30-75</f>
        <v>450</v>
      </c>
      <c r="B31">
        <v>8.0640000000000001</v>
      </c>
      <c r="C31">
        <v>37.595999999999997</v>
      </c>
      <c r="D31">
        <v>10.603999999999999</v>
      </c>
      <c r="E31">
        <v>8.1419999999999995</v>
      </c>
      <c r="F31">
        <v>41.323</v>
      </c>
      <c r="G31">
        <v>12.202999999999999</v>
      </c>
      <c r="H31">
        <v>12.202999999999999</v>
      </c>
      <c r="I31">
        <v>12.202999999999999</v>
      </c>
      <c r="J31">
        <v>7.06</v>
      </c>
      <c r="K31">
        <v>7.06</v>
      </c>
      <c r="L31">
        <v>7.06</v>
      </c>
      <c r="M31">
        <v>4.6980000000000004</v>
      </c>
      <c r="N31">
        <v>4.6980000000000004</v>
      </c>
      <c r="O31">
        <v>4.6980000000000004</v>
      </c>
      <c r="AJ31">
        <f t="shared" si="0"/>
        <v>177.61200000000002</v>
      </c>
    </row>
    <row r="32" spans="1:36" x14ac:dyDescent="0.25">
      <c r="A32">
        <f t="shared" ref="A32" si="3">A31-75</f>
        <v>375</v>
      </c>
      <c r="B32">
        <v>62.41</v>
      </c>
      <c r="C32">
        <v>10.225</v>
      </c>
      <c r="D32">
        <v>7.9619999999999997</v>
      </c>
      <c r="E32">
        <v>45.097999999999999</v>
      </c>
      <c r="F32">
        <v>19.937000000000001</v>
      </c>
      <c r="G32">
        <v>8.1370000000000005</v>
      </c>
      <c r="H32">
        <v>12.88</v>
      </c>
      <c r="I32">
        <v>8.032</v>
      </c>
      <c r="J32">
        <v>21.536000000000001</v>
      </c>
      <c r="K32">
        <v>44.600999999999999</v>
      </c>
      <c r="L32">
        <v>28.324000000000002</v>
      </c>
      <c r="M32">
        <v>8.1150000000000002</v>
      </c>
      <c r="N32">
        <v>9.6029999999999998</v>
      </c>
      <c r="O32">
        <v>56.758000000000003</v>
      </c>
      <c r="P32">
        <v>50.26</v>
      </c>
      <c r="Q32">
        <v>7.6580000000000004</v>
      </c>
      <c r="R32">
        <v>15.920999999999999</v>
      </c>
      <c r="S32">
        <v>39.47</v>
      </c>
      <c r="T32">
        <v>8.8710000000000004</v>
      </c>
      <c r="AJ32">
        <f t="shared" si="0"/>
        <v>465.798</v>
      </c>
    </row>
    <row r="34" spans="1:36" x14ac:dyDescent="0.25">
      <c r="A34" t="s">
        <v>73</v>
      </c>
    </row>
    <row r="35" spans="1:36" x14ac:dyDescent="0.25">
      <c r="A35">
        <v>300</v>
      </c>
      <c r="B35">
        <v>16.448</v>
      </c>
      <c r="C35">
        <v>3.9089999999999998</v>
      </c>
      <c r="D35">
        <v>16.603999999999999</v>
      </c>
      <c r="E35">
        <v>18.198</v>
      </c>
      <c r="AJ35">
        <f t="shared" si="0"/>
        <v>55.158999999999999</v>
      </c>
    </row>
    <row r="36" spans="1:36" x14ac:dyDescent="0.25">
      <c r="A36">
        <v>225</v>
      </c>
      <c r="B36">
        <v>6.5129999999999999</v>
      </c>
      <c r="C36">
        <v>39.912999999999997</v>
      </c>
      <c r="D36">
        <v>22.452000000000002</v>
      </c>
      <c r="E36">
        <v>18.341999999999999</v>
      </c>
      <c r="F36">
        <v>20.518000000000001</v>
      </c>
      <c r="G36">
        <v>26.606999999999999</v>
      </c>
      <c r="H36">
        <v>20.88</v>
      </c>
      <c r="I36">
        <v>17.294</v>
      </c>
      <c r="J36">
        <v>7.056</v>
      </c>
      <c r="K36">
        <v>34.636000000000003</v>
      </c>
      <c r="L36">
        <v>9.0310000000000006</v>
      </c>
      <c r="M36">
        <v>3.226</v>
      </c>
      <c r="N36">
        <v>18.678999999999998</v>
      </c>
      <c r="O36">
        <v>21.242000000000001</v>
      </c>
      <c r="P36">
        <v>24.117000000000001</v>
      </c>
      <c r="Q36">
        <v>25.471</v>
      </c>
      <c r="R36">
        <v>9.3879999999999999</v>
      </c>
      <c r="AJ36">
        <f t="shared" si="0"/>
        <v>325.36500000000001</v>
      </c>
    </row>
    <row r="37" spans="1:36" x14ac:dyDescent="0.25">
      <c r="A37">
        <v>200</v>
      </c>
      <c r="B37">
        <v>20.306999999999999</v>
      </c>
      <c r="C37">
        <v>20.177</v>
      </c>
      <c r="AJ37">
        <f t="shared" si="0"/>
        <v>40.483999999999995</v>
      </c>
    </row>
    <row r="38" spans="1:36" x14ac:dyDescent="0.25">
      <c r="A38">
        <v>150</v>
      </c>
      <c r="B38">
        <v>20.257000000000001</v>
      </c>
      <c r="C38">
        <v>25.068999999999999</v>
      </c>
      <c r="AJ38">
        <f t="shared" si="0"/>
        <v>45.326000000000001</v>
      </c>
    </row>
    <row r="43" spans="1:36" x14ac:dyDescent="0.25">
      <c r="A43" t="s">
        <v>75</v>
      </c>
    </row>
    <row r="44" spans="1:36" x14ac:dyDescent="0.25">
      <c r="A44">
        <v>750</v>
      </c>
      <c r="B44">
        <v>17.341999999999999</v>
      </c>
      <c r="AJ44">
        <f t="shared" si="0"/>
        <v>17.341999999999999</v>
      </c>
    </row>
    <row r="45" spans="1:36" x14ac:dyDescent="0.25">
      <c r="A45">
        <v>675</v>
      </c>
      <c r="B45">
        <v>41.930999999999997</v>
      </c>
      <c r="C45">
        <v>16.337</v>
      </c>
      <c r="AJ45">
        <f t="shared" si="0"/>
        <v>58.268000000000001</v>
      </c>
    </row>
    <row r="46" spans="1:36" x14ac:dyDescent="0.25">
      <c r="A46">
        <v>375</v>
      </c>
      <c r="B46">
        <v>23.687000000000001</v>
      </c>
      <c r="C46">
        <v>11.131</v>
      </c>
      <c r="AJ46">
        <f t="shared" si="0"/>
        <v>34.817999999999998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43AAA704-14F2-47E8-8F41-685AFF8313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9D0D03-378E-47AF-8263-1DA4FF7F183D}"/>
</file>

<file path=customXml/itemProps3.xml><?xml version="1.0" encoding="utf-8"?>
<ds:datastoreItem xmlns:ds="http://schemas.openxmlformats.org/officeDocument/2006/customXml" ds:itemID="{B2AEDB03-ADAC-4E76-9147-3BD05A3E43B5}">
  <ds:schemaRefs>
    <ds:schemaRef ds:uri="http://schemas.microsoft.com/office/2006/metadata/properties"/>
    <ds:schemaRef ds:uri="http://schemas.microsoft.com/office/infopath/2007/PartnerControls"/>
    <ds:schemaRef ds:uri="ae7b334c-a941-4f8a-ba03-734a9c809466"/>
    <ds:schemaRef ds:uri="69b8687d-b3f5-4f0a-925b-1dc56e2d2a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 1,2 RES BOQ </vt:lpstr>
      <vt:lpstr>ST 3,4,5,6 RES BOQ  </vt:lpstr>
      <vt:lpstr>stormwater pipe calcs</vt:lpstr>
      <vt:lpstr>'ST 1,2 RES BOQ '!Print_Area</vt:lpstr>
      <vt:lpstr>'ST 3,4,5,6 RES BOQ  '!Print_Area</vt:lpstr>
      <vt:lpstr>'ST 1,2 RES BOQ '!Print_Titles</vt:lpstr>
      <vt:lpstr>'ST 3,4,5,6 RES BOQ 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graham</dc:creator>
  <cp:keywords/>
  <dc:description/>
  <cp:lastModifiedBy>Christian Abad | CVS Equipment</cp:lastModifiedBy>
  <cp:revision/>
  <dcterms:created xsi:type="dcterms:W3CDTF">2013-06-26T22:07:02Z</dcterms:created>
  <dcterms:modified xsi:type="dcterms:W3CDTF">2026-07-14T12:55:45Z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MediaServiceImageTags">
    <vt:lpwstr/>
  </property>
</Properties>
</file>