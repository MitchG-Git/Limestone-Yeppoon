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ntoshprojects-my.sharepoint.com/personal/chris_mcintoshcivil_au/Documents/Subcontractor Document Packages/Limestone/13 Stormwater - Subcontractors/"/>
    </mc:Choice>
  </mc:AlternateContent>
  <xr:revisionPtr revIDLastSave="1" documentId="8_{4A16133A-F6D9-470E-A4C8-398E59EB98CF}" xr6:coauthVersionLast="47" xr6:coauthVersionMax="47" xr10:uidLastSave="{8A7D001A-E9D7-4979-A128-E356764E3188}"/>
  <bookViews>
    <workbookView xWindow="-21697" yWindow="-2948" windowWidth="21795" windowHeight="12975" xr2:uid="{00000000-000D-0000-FFFF-FFFF00000000}"/>
  </bookViews>
  <sheets>
    <sheet name="Trunk Rd C  " sheetId="8" r:id="rId1"/>
    <sheet name="ST 1,2 RES BOQ " sheetId="10" r:id="rId2"/>
    <sheet name="ST 3,4,5,6 RES BOQ  " sheetId="15" r:id="rId3"/>
    <sheet name="stormwater pipe calcs" sheetId="16" state="hidden" r:id="rId4"/>
  </sheets>
  <definedNames>
    <definedName name="_xlnm.Print_Area" localSheetId="1">'ST 1,2 RES BOQ '!$A$3:$G$63</definedName>
    <definedName name="_xlnm.Print_Area" localSheetId="2">'ST 3,4,5,6 RES BOQ  '!$A$3:$G$69</definedName>
    <definedName name="_xlnm.Print_Area" localSheetId="0">'Trunk Rd C  '!$A$3:$G$27</definedName>
    <definedName name="_xlnm.Print_Titles" localSheetId="1">'ST 1,2 RES BOQ '!$3:$4</definedName>
    <definedName name="_xlnm.Print_Titles" localSheetId="2">'ST 3,4,5,6 RES BOQ  '!$3:$4</definedName>
    <definedName name="_xlnm.Print_Titles" localSheetId="0">'Trunk Rd C  '!$3:$4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8" l="1"/>
  <c r="G30" i="10" l="1"/>
  <c r="G28" i="10"/>
  <c r="G29" i="10"/>
  <c r="G27" i="10"/>
  <c r="G16" i="10"/>
  <c r="D17" i="10"/>
  <c r="G17" i="10" s="1"/>
  <c r="G20" i="10"/>
  <c r="G21" i="10"/>
  <c r="G22" i="10"/>
  <c r="G23" i="10"/>
  <c r="G24" i="10"/>
  <c r="G25" i="10"/>
  <c r="G19" i="10"/>
  <c r="G23" i="8"/>
  <c r="G21" i="8"/>
  <c r="G22" i="8"/>
  <c r="G20" i="8"/>
  <c r="G16" i="8"/>
  <c r="D26" i="8"/>
  <c r="D27" i="8" s="1"/>
  <c r="G10" i="8"/>
  <c r="G11" i="8"/>
  <c r="D9" i="8"/>
  <c r="D8" i="8"/>
  <c r="D7" i="8"/>
  <c r="G43" i="10" l="1"/>
  <c r="G48" i="10"/>
  <c r="G46" i="10"/>
  <c r="G44" i="10"/>
  <c r="G42" i="10"/>
  <c r="G39" i="10"/>
  <c r="G40" i="10"/>
  <c r="G38" i="10"/>
  <c r="G58" i="10" l="1"/>
  <c r="D51" i="10" l="1"/>
  <c r="D52" i="10" l="1"/>
  <c r="G51" i="10"/>
  <c r="D34" i="10"/>
  <c r="G34" i="10" s="1"/>
  <c r="D36" i="10"/>
  <c r="G36" i="10" s="1"/>
  <c r="D35" i="10"/>
  <c r="G35" i="10" s="1"/>
  <c r="D33" i="10"/>
  <c r="G33" i="10" s="1"/>
  <c r="D14" i="10"/>
  <c r="G14" i="10" s="1"/>
  <c r="D13" i="10"/>
  <c r="G13" i="10" s="1"/>
  <c r="D12" i="10"/>
  <c r="G12" i="10" s="1"/>
  <c r="D11" i="10"/>
  <c r="G11" i="10" s="1"/>
  <c r="D10" i="10"/>
  <c r="G10" i="10" s="1"/>
  <c r="D9" i="10"/>
  <c r="G9" i="10" s="1"/>
  <c r="D8" i="10"/>
  <c r="G8" i="10" s="1"/>
  <c r="D7" i="10"/>
  <c r="G7" i="10" s="1"/>
  <c r="AJ44" i="16"/>
  <c r="AJ45" i="16"/>
  <c r="AJ46" i="16"/>
  <c r="AJ27" i="16"/>
  <c r="AJ29" i="16"/>
  <c r="AJ30" i="16"/>
  <c r="AJ31" i="16"/>
  <c r="AJ32" i="16"/>
  <c r="AJ35" i="16"/>
  <c r="AJ36" i="16"/>
  <c r="AJ37" i="16"/>
  <c r="AJ38" i="16"/>
  <c r="AJ4" i="16"/>
  <c r="AJ5" i="16"/>
  <c r="AJ6" i="16"/>
  <c r="AJ7" i="16"/>
  <c r="AJ8" i="16"/>
  <c r="AJ9" i="16"/>
  <c r="AJ10" i="16"/>
  <c r="AJ13" i="16"/>
  <c r="AJ14" i="16"/>
  <c r="AJ15" i="16"/>
  <c r="AJ16" i="16"/>
  <c r="AJ17" i="16"/>
  <c r="AJ3" i="16"/>
  <c r="A26" i="16"/>
  <c r="A27" i="16" s="1"/>
  <c r="A28" i="16" s="1"/>
  <c r="A29" i="16" s="1"/>
  <c r="A30" i="16" s="1"/>
  <c r="A31" i="16" s="1"/>
  <c r="A32" i="16" s="1"/>
  <c r="A9" i="16"/>
  <c r="A10" i="16" s="1"/>
  <c r="A5" i="16"/>
  <c r="A6" i="16"/>
  <c r="A7" i="16"/>
  <c r="A8" i="16"/>
  <c r="A4" i="16"/>
  <c r="F5" i="10" l="1"/>
  <c r="F31" i="10"/>
  <c r="G15" i="8" l="1"/>
  <c r="G63" i="10" l="1"/>
  <c r="G62" i="10"/>
  <c r="G61" i="10"/>
  <c r="G60" i="10"/>
  <c r="G59" i="10"/>
  <c r="G57" i="10"/>
  <c r="G56" i="10"/>
  <c r="G55" i="10"/>
  <c r="G52" i="10"/>
  <c r="F49" i="10" s="1"/>
  <c r="G27" i="8"/>
  <c r="G26" i="8"/>
  <c r="G13" i="8"/>
  <c r="G9" i="8"/>
  <c r="G8" i="8"/>
  <c r="G7" i="8"/>
  <c r="F53" i="10" l="1"/>
  <c r="F5" i="8"/>
  <c r="F24" i="8"/>
</calcChain>
</file>

<file path=xl/sharedStrings.xml><?xml version="1.0" encoding="utf-8"?>
<sst xmlns="http://schemas.openxmlformats.org/spreadsheetml/2006/main" count="378" uniqueCount="147">
  <si>
    <t>LIMESTONE CR ROAD YEPPOON</t>
  </si>
  <si>
    <t>BILL OF QUANTITIES</t>
  </si>
  <si>
    <t>DATE</t>
  </si>
  <si>
    <t>REV A</t>
  </si>
  <si>
    <t>Item</t>
  </si>
  <si>
    <t>Qty.</t>
  </si>
  <si>
    <t>Unit</t>
  </si>
  <si>
    <t>Rate</t>
  </si>
  <si>
    <t>Total</t>
  </si>
  <si>
    <t>item</t>
  </si>
  <si>
    <t>m</t>
  </si>
  <si>
    <t>Trunk Road Section C - OP WORKS</t>
  </si>
  <si>
    <t>m²</t>
  </si>
  <si>
    <t>STORMWATER DRAINAGE</t>
  </si>
  <si>
    <t>Supply, Excavate, Joint, Lay &amp; Backfill incl compaction testing</t>
  </si>
  <si>
    <t>3.1.1</t>
  </si>
  <si>
    <t xml:space="preserve">375mm dia. HDPE </t>
  </si>
  <si>
    <t>3.1.2</t>
  </si>
  <si>
    <t>675mm dia. RCP RRJ 'Class 3'</t>
  </si>
  <si>
    <t>3.1.3</t>
  </si>
  <si>
    <t>750mm dia. RCP RRJ 'Class 3'</t>
  </si>
  <si>
    <t>3.1.4</t>
  </si>
  <si>
    <t xml:space="preserve">3.6m x 0.9m RCBC </t>
  </si>
  <si>
    <t>3.1.5</t>
  </si>
  <si>
    <t xml:space="preserve">3.6m x 1.2m RCBC </t>
  </si>
  <si>
    <t>Supply &amp; Install Concrete Pits with Lintel</t>
  </si>
  <si>
    <t>3.2.1</t>
  </si>
  <si>
    <t>2.4m Lintel Type 'S' - STD CMDG Type A Gully Pit - SAG</t>
  </si>
  <si>
    <t>each</t>
  </si>
  <si>
    <t>3.2.2</t>
  </si>
  <si>
    <t>2.4m Lintel Type 'S' - STD CMDG Type A Gully Pit</t>
  </si>
  <si>
    <t>3.2.3</t>
  </si>
  <si>
    <t>2.4m Lintel Type 'S' - Custom Pit (1200 x 900)</t>
  </si>
  <si>
    <t>3.2.4</t>
  </si>
  <si>
    <t>2.4m Lintel Type 'S' - Custom Pit (1100x1100)</t>
  </si>
  <si>
    <t>Supply, Excavate, Install &amp; Backfill Headwall to suit:</t>
  </si>
  <si>
    <t>3.3.1</t>
  </si>
  <si>
    <t>375mm DIA. HDPE (1/44)</t>
  </si>
  <si>
    <t>3.3.2</t>
  </si>
  <si>
    <t>750mm DIA. RCP (40-1)</t>
  </si>
  <si>
    <t xml:space="preserve">Base Slab for Culverts per structural Engineers Details </t>
  </si>
  <si>
    <t xml:space="preserve">64 m Long Cast In-Situ Head Wall to Culverts (including Concrete Aprons) to Structural Engineers Details </t>
  </si>
  <si>
    <t>Each</t>
  </si>
  <si>
    <t xml:space="preserve">Outlet Protection for Culvert System </t>
  </si>
  <si>
    <t>Outlet Protection for Headwalls</t>
  </si>
  <si>
    <t>SUBSOIL DRAINAGE</t>
  </si>
  <si>
    <t>Excavate, supply, bed, lay, joint and backfill pipe</t>
  </si>
  <si>
    <t>4.1.1</t>
  </si>
  <si>
    <t>100mm Dia. Draincoil: As per Specification incl. filter "sock"</t>
  </si>
  <si>
    <t>4.1.2</t>
  </si>
  <si>
    <t>Subsoil drain flushing points (@ no greater than 50m Intervals)</t>
  </si>
  <si>
    <t>STAGE 1 &amp; 2 - OP WORKS</t>
  </si>
  <si>
    <t>Rev A</t>
  </si>
  <si>
    <t xml:space="preserve">450mm dia. HDPE </t>
  </si>
  <si>
    <t xml:space="preserve">525mm dia. HDPE </t>
  </si>
  <si>
    <t xml:space="preserve">600mm dia. HDPE </t>
  </si>
  <si>
    <t>3.1.6</t>
  </si>
  <si>
    <t>3.1.7</t>
  </si>
  <si>
    <t>825mm dia. RCP RRJ 'Class 3'</t>
  </si>
  <si>
    <t>3.1.8</t>
  </si>
  <si>
    <t>900mm dia. RCP RRJ 'Class 3'</t>
  </si>
  <si>
    <t>Construct Concrete Pits</t>
  </si>
  <si>
    <t>Supply &amp; Construct Custom Concrete Pits</t>
  </si>
  <si>
    <t>Custom grated Junction Pit  To plan Detail including Structural Design - Pit 5/1 (1100x900)</t>
  </si>
  <si>
    <t>Custom grated Junction Pit  To plan Detail including Structural Design - Pit 2/18 (2100x900)</t>
  </si>
  <si>
    <t>3.3.3</t>
  </si>
  <si>
    <t>Custom grated Junction Pit  To plan Detail including Structural Design - Pit 3/18 (2100x1300)</t>
  </si>
  <si>
    <t>3.3.4</t>
  </si>
  <si>
    <t>Custom grated Junction Pit  To plan Detail including Structural Design - Pit 4/18 (1300x1200)</t>
  </si>
  <si>
    <t>3.3.5</t>
  </si>
  <si>
    <t>Custom grated Junction Pit  To plan Detail including Structural Design - Pit 2/20 (1200x900)</t>
  </si>
  <si>
    <t>3.3.6</t>
  </si>
  <si>
    <t>Custom grated Junction Pit  To plan Detail including Structural Design - Pit 5/18 (1100x1200)</t>
  </si>
  <si>
    <t>3.3.7</t>
  </si>
  <si>
    <t>Custom grated Junction Pit  To plan Detail including Structural Design - Pit 6/18 (1100x900)</t>
  </si>
  <si>
    <t>3.4.1</t>
  </si>
  <si>
    <t>Twin 900mm DIA. RCP (1/18)</t>
  </si>
  <si>
    <t>3.4.2</t>
  </si>
  <si>
    <t>Temporary headwall to suit 600mm DIA. HDPE (5/1) including tail out Swale</t>
  </si>
  <si>
    <t>3.4.3</t>
  </si>
  <si>
    <t>Temporary headwall to suit 375mm DIA. HDPE (10/9) including tail out Swale</t>
  </si>
  <si>
    <t>Outlet Protection to headwall</t>
  </si>
  <si>
    <t>INTERLOT DRAINAGE</t>
  </si>
  <si>
    <t>Supply, excavate, bed, lay, joint and backfill pipe</t>
  </si>
  <si>
    <t>150mm Dia. uPVC.</t>
  </si>
  <si>
    <t>200mm Dia. uPVC.</t>
  </si>
  <si>
    <t>4.1.3</t>
  </si>
  <si>
    <t>225mm Dia. uPVC.</t>
  </si>
  <si>
    <t>4.1.4</t>
  </si>
  <si>
    <t>300mm Dia. uPVC.</t>
  </si>
  <si>
    <t xml:space="preserve">Supply and Install Stormwater Junctions </t>
  </si>
  <si>
    <t>4.2.1</t>
  </si>
  <si>
    <t>Junctions to IAD pits</t>
  </si>
  <si>
    <t>4.2.2</t>
  </si>
  <si>
    <t>Supply and Install Kerb Adaptor in accordance with CMDG -R-061</t>
  </si>
  <si>
    <t>4.2.3</t>
  </si>
  <si>
    <t>Supply and Install 100mm DIA uPVC junction to lot from Kerb Adaptor in Accordance with CMDG-R-061</t>
  </si>
  <si>
    <t>Supply and Install Pre-Cast IAD Pits</t>
  </si>
  <si>
    <t>4.3.1</t>
  </si>
  <si>
    <t>Std. Inspection Pit 600 x 600 mm</t>
  </si>
  <si>
    <t>4.3.2</t>
  </si>
  <si>
    <t>Std. Inspection Pit 600 x 900 mm</t>
  </si>
  <si>
    <t>4.3.3</t>
  </si>
  <si>
    <t>Std. Inspection Pit 900 x 900 mm</t>
  </si>
  <si>
    <t>4.4.1</t>
  </si>
  <si>
    <t>225mm DIA. HDPE (32-1)</t>
  </si>
  <si>
    <t>Concrete Outlet Protection</t>
  </si>
  <si>
    <t>4.5.1</t>
  </si>
  <si>
    <t>Outlet scour protection</t>
  </si>
  <si>
    <t>5.1.1</t>
  </si>
  <si>
    <t>5.1.2</t>
  </si>
  <si>
    <t>12.1.1</t>
  </si>
  <si>
    <t>12.1.2</t>
  </si>
  <si>
    <t>12.1.3</t>
  </si>
  <si>
    <t>SOUTH BIO-RETENTION BASIN (BEHIND LOT 20)</t>
  </si>
  <si>
    <t>Supply &amp; construct bio-retention filter bed</t>
  </si>
  <si>
    <t>13.1.1</t>
  </si>
  <si>
    <t>Supply and lay 500mm thick filtration layer</t>
  </si>
  <si>
    <t>13.1.2</t>
  </si>
  <si>
    <t>Supply and lay 100mm deep sand transition layer</t>
  </si>
  <si>
    <t>13.1.3</t>
  </si>
  <si>
    <t>Supply and lay 200mm deep aggregate drainage layer</t>
  </si>
  <si>
    <t>Supply &amp; install 100mm dia. unslotted pipe</t>
  </si>
  <si>
    <t>Supply &amp; install 100mm dia. slotted pipe</t>
  </si>
  <si>
    <t>Supply &amp; install subsoil drainage flushing points</t>
  </si>
  <si>
    <t xml:space="preserve">900X900 Low flow Stormwater pit with Raised Grate </t>
  </si>
  <si>
    <t>450mm Dia HDPE Stormwater Pipe</t>
  </si>
  <si>
    <t>Headwall to suit 450mm HDPE Pipe with outlet protection</t>
  </si>
  <si>
    <t>Stage 3, 4, 5 &amp; 6 - OP WORKS</t>
  </si>
  <si>
    <t>Construct Concrete Pits AUSPEC C223</t>
  </si>
  <si>
    <t>Custom grated Junction Pit  To plan Detail including Structural Design - Pit 4/1, Pit 2/1, Pit 3/1, Pit 6/9 (1100x900)</t>
  </si>
  <si>
    <t>Custom grated Junction Pit  To plan Detail including Structural Design - Pit 2/80, Pit 1/82 (1100x900)</t>
  </si>
  <si>
    <t>Custom grated Junction Pit  To plan Detail including Structural Design - Pit 2/9 (1100x1000)</t>
  </si>
  <si>
    <t>750mm DIA. RCP (1/1)</t>
  </si>
  <si>
    <t>Twin 750mm DIA RCP (1/9)</t>
  </si>
  <si>
    <t>525mm DIA. HDPE  (headwall into Western Basin)</t>
  </si>
  <si>
    <t xml:space="preserve">Removal and Dispose of Temporary Headwalls Installed in Stage 1/2 </t>
  </si>
  <si>
    <t>Outlet Protection</t>
  </si>
  <si>
    <t>225mm DIA. HDPE (1/15, 1/16)</t>
  </si>
  <si>
    <t>300mm DIA. HDPE (1/4)</t>
  </si>
  <si>
    <t>NORTHERN BIO-RETENTION BASIN (near Lots 81 &amp; 115)</t>
  </si>
  <si>
    <t>WESTERN BIO-RETENTION BASIN (near Lot 93)</t>
  </si>
  <si>
    <t>Stage 1 &amp; 2</t>
  </si>
  <si>
    <t xml:space="preserve">Road Drainage </t>
  </si>
  <si>
    <t>IAD</t>
  </si>
  <si>
    <t>Stage 3, 4, 5, 6</t>
  </si>
  <si>
    <t>Trunk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</si>
</sst>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;[Red]\-&quot;$&quot;#,##0.00"/>
    <numFmt numFmtId="165" formatCode="_-* #,##0.00_-;\-* #,##0.00_-;_-* &quot;-&quot;??_-;_-@_-"/>
    <numFmt numFmtId="166" formatCode="_(&quot;Z$&quot;* #,##0.00_);_(&quot;Z$&quot;* \(#,##0.00\);_(&quot;Z$&quot;* &quot;-&quot;??_);_(@_)"/>
    <numFmt numFmtId="167" formatCode="&quot;$&quot;#,##0.00"/>
    <numFmt numFmtId="168" formatCode="_-* #,##0_-;\-* #,##0_-;_-* &quot;-&quot;??_-;_-@_-"/>
    <numFmt numFmtId="169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ptos"/>
      <family val="2"/>
    </font>
    <font>
      <b/>
      <sz val="12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Aptos"/>
      <family val="2"/>
    </font>
    <font>
      <sz val="10"/>
      <color rgb="FF000000"/>
      <name val="Aptos"/>
      <family val="2"/>
    </font>
    <font>
      <b/>
      <i/>
      <sz val="10"/>
      <color theme="1"/>
      <name val="Aptos"/>
      <family val="2"/>
    </font>
    <font>
      <i/>
      <sz val="10"/>
      <color theme="1"/>
      <name val="Aptos"/>
      <family val="2"/>
    </font>
    <font>
      <b/>
      <sz val="10"/>
      <color rgb="FF000000"/>
      <name val="Aptos"/>
      <family val="2"/>
    </font>
    <font>
      <b/>
      <i/>
      <sz val="10"/>
      <color rgb="FF000000"/>
      <name val="Aptos"/>
      <family val="2"/>
    </font>
    <font>
      <sz val="10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01">
    <xf numFmtId="0" fontId="0" fillId="0" borderId="0" xfId="0"/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14" fontId="6" fillId="0" borderId="27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6" fontId="6" fillId="0" borderId="0" xfId="3" applyFont="1" applyAlignment="1">
      <alignment vertical="center"/>
    </xf>
    <xf numFmtId="0" fontId="4" fillId="2" borderId="1" xfId="0" quotePrefix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67" fontId="4" fillId="2" borderId="46" xfId="2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/>
    </xf>
    <xf numFmtId="167" fontId="4" fillId="2" borderId="8" xfId="2" applyNumberFormat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9" xfId="0" applyFont="1" applyBorder="1" applyAlignment="1">
      <alignment horizontal="center" vertical="center"/>
    </xf>
    <xf numFmtId="167" fontId="8" fillId="0" borderId="29" xfId="2" applyNumberFormat="1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167" fontId="8" fillId="0" borderId="28" xfId="2" applyNumberFormat="1" applyFont="1" applyBorder="1" applyAlignment="1">
      <alignment vertical="center"/>
    </xf>
    <xf numFmtId="0" fontId="9" fillId="4" borderId="24" xfId="0" quotePrefix="1" applyFont="1" applyFill="1" applyBorder="1" applyAlignment="1">
      <alignment horizontal="right" vertical="center"/>
    </xf>
    <xf numFmtId="164" fontId="8" fillId="4" borderId="18" xfId="2" applyNumberFormat="1" applyFont="1" applyFill="1" applyBorder="1" applyAlignment="1">
      <alignment vertical="center"/>
    </xf>
    <xf numFmtId="167" fontId="8" fillId="4" borderId="28" xfId="2" applyNumberFormat="1" applyFont="1" applyFill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right" vertical="center"/>
    </xf>
    <xf numFmtId="0" fontId="9" fillId="3" borderId="21" xfId="0" quotePrefix="1" applyFont="1" applyFill="1" applyBorder="1" applyAlignment="1">
      <alignment horizontal="right" vertical="center"/>
    </xf>
    <xf numFmtId="0" fontId="4" fillId="3" borderId="36" xfId="0" applyFont="1" applyFill="1" applyBorder="1" applyAlignment="1">
      <alignment horizontal="center" vertical="center"/>
    </xf>
    <xf numFmtId="167" fontId="11" fillId="3" borderId="29" xfId="2" applyNumberFormat="1" applyFont="1" applyFill="1" applyBorder="1" applyAlignment="1">
      <alignment vertical="center"/>
    </xf>
    <xf numFmtId="164" fontId="8" fillId="3" borderId="5" xfId="2" applyNumberFormat="1" applyFont="1" applyFill="1" applyBorder="1" applyAlignment="1">
      <alignment vertical="center"/>
    </xf>
    <xf numFmtId="167" fontId="6" fillId="0" borderId="29" xfId="2" applyNumberFormat="1" applyFont="1" applyBorder="1" applyAlignment="1">
      <alignment vertical="center"/>
    </xf>
    <xf numFmtId="164" fontId="6" fillId="0" borderId="5" xfId="2" applyNumberFormat="1" applyFont="1" applyBorder="1" applyAlignment="1">
      <alignment vertical="center"/>
    </xf>
    <xf numFmtId="0" fontId="6" fillId="4" borderId="25" xfId="0" applyFont="1" applyFill="1" applyBorder="1" applyAlignment="1">
      <alignment horizontal="right" vertical="center"/>
    </xf>
    <xf numFmtId="0" fontId="9" fillId="4" borderId="26" xfId="0" quotePrefix="1" applyFont="1" applyFill="1" applyBorder="1" applyAlignment="1">
      <alignment horizontal="right" vertical="center"/>
    </xf>
    <xf numFmtId="0" fontId="9" fillId="4" borderId="43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horizontal="center" vertical="center"/>
    </xf>
    <xf numFmtId="167" fontId="8" fillId="4" borderId="35" xfId="2" applyNumberFormat="1" applyFont="1" applyFill="1" applyBorder="1" applyAlignment="1">
      <alignment vertical="center"/>
    </xf>
    <xf numFmtId="164" fontId="8" fillId="4" borderId="13" xfId="2" applyNumberFormat="1" applyFont="1" applyFill="1" applyBorder="1" applyAlignment="1">
      <alignment vertical="center"/>
    </xf>
    <xf numFmtId="0" fontId="6" fillId="0" borderId="20" xfId="0" applyFont="1" applyBorder="1" applyAlignment="1">
      <alignment horizontal="right" vertical="center"/>
    </xf>
    <xf numFmtId="0" fontId="6" fillId="4" borderId="20" xfId="0" applyFont="1" applyFill="1" applyBorder="1" applyAlignment="1">
      <alignment horizontal="right" vertical="center"/>
    </xf>
    <xf numFmtId="0" fontId="9" fillId="4" borderId="21" xfId="0" quotePrefix="1" applyFont="1" applyFill="1" applyBorder="1" applyAlignment="1">
      <alignment horizontal="right" vertical="center"/>
    </xf>
    <xf numFmtId="0" fontId="6" fillId="4" borderId="29" xfId="0" applyFont="1" applyFill="1" applyBorder="1" applyAlignment="1">
      <alignment horizontal="center" vertical="center"/>
    </xf>
    <xf numFmtId="164" fontId="8" fillId="4" borderId="5" xfId="2" applyNumberFormat="1" applyFont="1" applyFill="1" applyBorder="1" applyAlignment="1">
      <alignment vertical="center"/>
    </xf>
    <xf numFmtId="0" fontId="6" fillId="2" borderId="7" xfId="0" applyFont="1" applyFill="1" applyBorder="1" applyAlignment="1">
      <alignment horizontal="right" vertical="center"/>
    </xf>
    <xf numFmtId="0" fontId="4" fillId="4" borderId="21" xfId="0" quotePrefix="1" applyFont="1" applyFill="1" applyBorder="1" applyAlignment="1">
      <alignment horizontal="right" vertical="center"/>
    </xf>
    <xf numFmtId="0" fontId="6" fillId="4" borderId="3" xfId="2" applyNumberFormat="1" applyFont="1" applyFill="1" applyBorder="1" applyAlignment="1">
      <alignment vertical="center"/>
    </xf>
    <xf numFmtId="167" fontId="4" fillId="4" borderId="29" xfId="2" applyNumberFormat="1" applyFont="1" applyFill="1" applyBorder="1" applyAlignment="1">
      <alignment vertical="center"/>
    </xf>
    <xf numFmtId="164" fontId="6" fillId="4" borderId="5" xfId="2" applyNumberFormat="1" applyFont="1" applyFill="1" applyBorder="1" applyAlignment="1">
      <alignment vertical="center"/>
    </xf>
    <xf numFmtId="167" fontId="6" fillId="4" borderId="29" xfId="2" applyNumberFormat="1" applyFont="1" applyFill="1" applyBorder="1" applyAlignment="1">
      <alignment vertical="center"/>
    </xf>
    <xf numFmtId="167" fontId="6" fillId="4" borderId="28" xfId="2" applyNumberFormat="1" applyFont="1" applyFill="1" applyBorder="1" applyAlignment="1">
      <alignment vertical="center"/>
    </xf>
    <xf numFmtId="164" fontId="6" fillId="4" borderId="18" xfId="2" applyNumberFormat="1" applyFont="1" applyFill="1" applyBorder="1" applyAlignment="1">
      <alignment vertical="center"/>
    </xf>
    <xf numFmtId="164" fontId="6" fillId="0" borderId="10" xfId="2" applyNumberFormat="1" applyFont="1" applyBorder="1" applyAlignment="1">
      <alignment vertical="center"/>
    </xf>
    <xf numFmtId="0" fontId="6" fillId="0" borderId="14" xfId="0" applyFont="1" applyBorder="1" applyAlignment="1">
      <alignment horizontal="left" vertical="center" wrapText="1" indent="1"/>
    </xf>
    <xf numFmtId="0" fontId="4" fillId="2" borderId="6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right" vertical="center"/>
    </xf>
    <xf numFmtId="0" fontId="8" fillId="4" borderId="2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 wrapText="1" indent="1"/>
    </xf>
    <xf numFmtId="0" fontId="9" fillId="4" borderId="3" xfId="0" applyFont="1" applyFill="1" applyBorder="1" applyAlignment="1">
      <alignment vertical="center" wrapText="1"/>
    </xf>
    <xf numFmtId="0" fontId="9" fillId="4" borderId="12" xfId="0" applyFont="1" applyFill="1" applyBorder="1" applyAlignment="1">
      <alignment vertical="center" wrapText="1"/>
    </xf>
    <xf numFmtId="0" fontId="6" fillId="0" borderId="9" xfId="0" applyFont="1" applyBorder="1" applyAlignment="1">
      <alignment horizontal="right" vertical="center"/>
    </xf>
    <xf numFmtId="167" fontId="6" fillId="0" borderId="28" xfId="2" applyNumberFormat="1" applyFont="1" applyFill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167" fontId="6" fillId="0" borderId="0" xfId="2" applyNumberFormat="1" applyFont="1" applyAlignment="1">
      <alignment vertical="center"/>
    </xf>
    <xf numFmtId="0" fontId="4" fillId="4" borderId="23" xfId="0" applyFont="1" applyFill="1" applyBorder="1" applyAlignment="1">
      <alignment horizontal="right" vertical="center"/>
    </xf>
    <xf numFmtId="0" fontId="9" fillId="4" borderId="32" xfId="0" applyFont="1" applyFill="1" applyBorder="1" applyAlignment="1">
      <alignment vertical="center" wrapText="1"/>
    </xf>
    <xf numFmtId="0" fontId="6" fillId="4" borderId="28" xfId="0" applyFont="1" applyFill="1" applyBorder="1" applyAlignment="1">
      <alignment horizontal="center" vertical="center"/>
    </xf>
    <xf numFmtId="0" fontId="6" fillId="0" borderId="24" xfId="0" quotePrefix="1" applyFont="1" applyBorder="1" applyAlignment="1">
      <alignment horizontal="right" vertical="center"/>
    </xf>
    <xf numFmtId="164" fontId="6" fillId="0" borderId="24" xfId="2" applyNumberFormat="1" applyFont="1" applyBorder="1" applyAlignment="1">
      <alignment vertical="center"/>
    </xf>
    <xf numFmtId="0" fontId="9" fillId="4" borderId="34" xfId="0" quotePrefix="1" applyFont="1" applyFill="1" applyBorder="1" applyAlignment="1">
      <alignment horizontal="right" vertical="center"/>
    </xf>
    <xf numFmtId="0" fontId="9" fillId="4" borderId="42" xfId="0" applyFont="1" applyFill="1" applyBorder="1" applyAlignment="1">
      <alignment vertical="center" wrapText="1"/>
    </xf>
    <xf numFmtId="0" fontId="6" fillId="4" borderId="41" xfId="0" applyFont="1" applyFill="1" applyBorder="1" applyAlignment="1">
      <alignment horizontal="center" vertical="center"/>
    </xf>
    <xf numFmtId="167" fontId="6" fillId="4" borderId="41" xfId="2" applyNumberFormat="1" applyFont="1" applyFill="1" applyBorder="1" applyAlignment="1">
      <alignment vertical="center"/>
    </xf>
    <xf numFmtId="164" fontId="6" fillId="4" borderId="17" xfId="2" applyNumberFormat="1" applyFont="1" applyFill="1" applyBorder="1" applyAlignment="1">
      <alignment vertical="center"/>
    </xf>
    <xf numFmtId="0" fontId="6" fillId="4" borderId="16" xfId="0" applyFont="1" applyFill="1" applyBorder="1" applyAlignment="1">
      <alignment horizontal="right" vertical="center"/>
    </xf>
    <xf numFmtId="0" fontId="6" fillId="4" borderId="12" xfId="0" applyFont="1" applyFill="1" applyBorder="1" applyAlignment="1">
      <alignment horizontal="right" vertical="center"/>
    </xf>
    <xf numFmtId="0" fontId="4" fillId="4" borderId="20" xfId="0" applyFont="1" applyFill="1" applyBorder="1" applyAlignment="1">
      <alignment horizontal="right" vertical="center"/>
    </xf>
    <xf numFmtId="164" fontId="4" fillId="4" borderId="5" xfId="2" applyNumberFormat="1" applyFont="1" applyFill="1" applyBorder="1" applyAlignment="1">
      <alignment vertical="center"/>
    </xf>
    <xf numFmtId="0" fontId="9" fillId="4" borderId="23" xfId="0" applyFont="1" applyFill="1" applyBorder="1" applyAlignment="1">
      <alignment horizontal="right" vertical="center"/>
    </xf>
    <xf numFmtId="0" fontId="4" fillId="4" borderId="36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vertical="center" wrapText="1"/>
    </xf>
    <xf numFmtId="0" fontId="6" fillId="4" borderId="31" xfId="0" applyFont="1" applyFill="1" applyBorder="1" applyAlignment="1">
      <alignment horizontal="center" vertical="center"/>
    </xf>
    <xf numFmtId="168" fontId="4" fillId="2" borderId="46" xfId="2" applyNumberFormat="1" applyFont="1" applyFill="1" applyBorder="1" applyAlignment="1">
      <alignment horizontal="center" vertical="center"/>
    </xf>
    <xf numFmtId="168" fontId="4" fillId="2" borderId="6" xfId="2" applyNumberFormat="1" applyFont="1" applyFill="1" applyBorder="1" applyAlignment="1">
      <alignment horizontal="center" vertical="center"/>
    </xf>
    <xf numFmtId="168" fontId="6" fillId="4" borderId="3" xfId="2" applyNumberFormat="1" applyFont="1" applyFill="1" applyBorder="1" applyAlignment="1">
      <alignment vertical="center"/>
    </xf>
    <xf numFmtId="168" fontId="6" fillId="0" borderId="3" xfId="2" applyNumberFormat="1" applyFont="1" applyBorder="1" applyAlignment="1">
      <alignment horizontal="right" vertical="center"/>
    </xf>
    <xf numFmtId="168" fontId="6" fillId="0" borderId="9" xfId="2" applyNumberFormat="1" applyFont="1" applyBorder="1" applyAlignment="1">
      <alignment horizontal="right" vertical="center"/>
    </xf>
    <xf numFmtId="168" fontId="6" fillId="0" borderId="3" xfId="2" applyNumberFormat="1" applyFont="1" applyFill="1" applyBorder="1" applyAlignment="1">
      <alignment horizontal="right" vertical="center"/>
    </xf>
    <xf numFmtId="168" fontId="6" fillId="4" borderId="12" xfId="2" applyNumberFormat="1" applyFont="1" applyFill="1" applyBorder="1" applyAlignment="1">
      <alignment horizontal="right" vertical="center"/>
    </xf>
    <xf numFmtId="168" fontId="6" fillId="3" borderId="3" xfId="2" applyNumberFormat="1" applyFont="1" applyFill="1" applyBorder="1" applyAlignment="1">
      <alignment vertical="center"/>
    </xf>
    <xf numFmtId="168" fontId="6" fillId="0" borderId="0" xfId="2" applyNumberFormat="1" applyFont="1" applyAlignment="1">
      <alignment vertical="center"/>
    </xf>
    <xf numFmtId="167" fontId="6" fillId="0" borderId="30" xfId="2" applyNumberFormat="1" applyFont="1" applyBorder="1" applyAlignment="1">
      <alignment vertical="center"/>
    </xf>
    <xf numFmtId="168" fontId="4" fillId="4" borderId="3" xfId="2" applyNumberFormat="1" applyFont="1" applyFill="1" applyBorder="1" applyAlignment="1">
      <alignment vertical="center"/>
    </xf>
    <xf numFmtId="167" fontId="11" fillId="4" borderId="29" xfId="2" applyNumberFormat="1" applyFont="1" applyFill="1" applyBorder="1" applyAlignment="1">
      <alignment vertical="center"/>
    </xf>
    <xf numFmtId="168" fontId="6" fillId="4" borderId="3" xfId="2" applyNumberFormat="1" applyFont="1" applyFill="1" applyBorder="1" applyAlignment="1">
      <alignment horizontal="right" vertical="center"/>
    </xf>
    <xf numFmtId="0" fontId="6" fillId="0" borderId="9" xfId="0" applyFont="1" applyBorder="1" applyAlignment="1">
      <alignment horizontal="left" vertical="center" wrapText="1" indent="1"/>
    </xf>
    <xf numFmtId="168" fontId="6" fillId="4" borderId="12" xfId="2" applyNumberFormat="1" applyFont="1" applyFill="1" applyBorder="1" applyAlignment="1">
      <alignment vertical="center"/>
    </xf>
    <xf numFmtId="0" fontId="8" fillId="4" borderId="28" xfId="0" applyFont="1" applyFill="1" applyBorder="1" applyAlignment="1">
      <alignment horizontal="center" vertical="center"/>
    </xf>
    <xf numFmtId="0" fontId="4" fillId="4" borderId="24" xfId="0" quotePrefix="1" applyFont="1" applyFill="1" applyBorder="1" applyAlignment="1">
      <alignment horizontal="right" vertical="center"/>
    </xf>
    <xf numFmtId="168" fontId="6" fillId="0" borderId="23" xfId="2" applyNumberFormat="1" applyFont="1" applyFill="1" applyBorder="1" applyAlignment="1">
      <alignment horizontal="right" vertical="center"/>
    </xf>
    <xf numFmtId="0" fontId="4" fillId="2" borderId="40" xfId="0" applyFont="1" applyFill="1" applyBorder="1" applyAlignment="1">
      <alignment horizontal="right" vertical="center"/>
    </xf>
    <xf numFmtId="0" fontId="9" fillId="4" borderId="4" xfId="0" applyFont="1" applyFill="1" applyBorder="1" applyAlignment="1">
      <alignment vertical="center" wrapText="1"/>
    </xf>
    <xf numFmtId="0" fontId="9" fillId="4" borderId="11" xfId="0" applyFont="1" applyFill="1" applyBorder="1" applyAlignment="1">
      <alignment vertical="center" wrapText="1"/>
    </xf>
    <xf numFmtId="0" fontId="6" fillId="0" borderId="38" xfId="0" applyFont="1" applyBorder="1" applyAlignment="1">
      <alignment horizontal="center" vertical="center"/>
    </xf>
    <xf numFmtId="0" fontId="9" fillId="4" borderId="47" xfId="0" applyFont="1" applyFill="1" applyBorder="1" applyAlignment="1">
      <alignment vertical="center" wrapText="1"/>
    </xf>
    <xf numFmtId="0" fontId="10" fillId="4" borderId="32" xfId="0" applyFont="1" applyFill="1" applyBorder="1" applyAlignment="1">
      <alignment horizontal="right" vertical="center" wrapText="1"/>
    </xf>
    <xf numFmtId="0" fontId="6" fillId="0" borderId="48" xfId="0" applyFont="1" applyBorder="1" applyAlignment="1">
      <alignment horizontal="right" vertical="center"/>
    </xf>
    <xf numFmtId="0" fontId="6" fillId="0" borderId="39" xfId="0" quotePrefix="1" applyFont="1" applyBorder="1" applyAlignment="1">
      <alignment horizontal="right" vertical="center"/>
    </xf>
    <xf numFmtId="164" fontId="6" fillId="0" borderId="49" xfId="2" applyNumberFormat="1" applyFont="1" applyBorder="1" applyAlignment="1">
      <alignment vertical="center"/>
    </xf>
    <xf numFmtId="168" fontId="6" fillId="0" borderId="12" xfId="2" applyNumberFormat="1" applyFont="1" applyFill="1" applyBorder="1" applyAlignment="1">
      <alignment horizontal="right" vertical="center"/>
    </xf>
    <xf numFmtId="0" fontId="4" fillId="4" borderId="31" xfId="0" applyFont="1" applyFill="1" applyBorder="1" applyAlignment="1">
      <alignment horizontal="center" vertical="center"/>
    </xf>
    <xf numFmtId="167" fontId="4" fillId="4" borderId="28" xfId="2" applyNumberFormat="1" applyFont="1" applyFill="1" applyBorder="1" applyAlignment="1">
      <alignment vertical="center"/>
    </xf>
    <xf numFmtId="167" fontId="4" fillId="4" borderId="41" xfId="2" applyNumberFormat="1" applyFont="1" applyFill="1" applyBorder="1" applyAlignment="1">
      <alignment vertical="center"/>
    </xf>
    <xf numFmtId="0" fontId="12" fillId="4" borderId="11" xfId="0" applyFont="1" applyFill="1" applyBorder="1" applyAlignment="1">
      <alignment vertical="center" wrapText="1"/>
    </xf>
    <xf numFmtId="0" fontId="9" fillId="4" borderId="25" xfId="0" applyFont="1" applyFill="1" applyBorder="1" applyAlignment="1">
      <alignment horizontal="right" vertical="center"/>
    </xf>
    <xf numFmtId="0" fontId="6" fillId="0" borderId="23" xfId="2" applyNumberFormat="1" applyFont="1" applyFill="1" applyBorder="1" applyAlignment="1">
      <alignment horizontal="right" vertical="center"/>
    </xf>
    <xf numFmtId="167" fontId="6" fillId="0" borderId="28" xfId="2" applyNumberFormat="1" applyFont="1" applyBorder="1" applyAlignment="1">
      <alignment vertical="center"/>
    </xf>
    <xf numFmtId="0" fontId="6" fillId="0" borderId="23" xfId="0" applyFont="1" applyBorder="1" applyAlignment="1">
      <alignment horizontal="right" vertical="center"/>
    </xf>
    <xf numFmtId="0" fontId="6" fillId="0" borderId="24" xfId="0" applyFont="1" applyBorder="1" applyAlignment="1">
      <alignment horizontal="right" vertical="center"/>
    </xf>
    <xf numFmtId="0" fontId="6" fillId="0" borderId="11" xfId="0" applyFont="1" applyBorder="1" applyAlignment="1">
      <alignment horizontal="left" vertical="center" wrapText="1" indent="1"/>
    </xf>
    <xf numFmtId="1" fontId="6" fillId="0" borderId="23" xfId="2" applyNumberFormat="1" applyFont="1" applyFill="1" applyBorder="1" applyAlignment="1">
      <alignment horizontal="right" vertical="center"/>
    </xf>
    <xf numFmtId="168" fontId="6" fillId="4" borderId="23" xfId="2" applyNumberFormat="1" applyFont="1" applyFill="1" applyBorder="1" applyAlignment="1">
      <alignment vertical="center"/>
    </xf>
    <xf numFmtId="168" fontId="6" fillId="4" borderId="22" xfId="2" applyNumberFormat="1" applyFont="1" applyFill="1" applyBorder="1" applyAlignment="1">
      <alignment vertical="center"/>
    </xf>
    <xf numFmtId="0" fontId="6" fillId="0" borderId="12" xfId="0" applyFont="1" applyBorder="1" applyAlignment="1">
      <alignment horizontal="right" vertical="center"/>
    </xf>
    <xf numFmtId="0" fontId="6" fillId="0" borderId="15" xfId="0" applyFont="1" applyBorder="1" applyAlignment="1">
      <alignment horizontal="left" vertical="center" wrapText="1" indent="1"/>
    </xf>
    <xf numFmtId="164" fontId="6" fillId="0" borderId="18" xfId="2" applyNumberFormat="1" applyFont="1" applyBorder="1" applyAlignment="1">
      <alignment vertical="center"/>
    </xf>
    <xf numFmtId="164" fontId="6" fillId="0" borderId="13" xfId="2" applyNumberFormat="1" applyFont="1" applyBorder="1" applyAlignment="1">
      <alignment vertical="center"/>
    </xf>
    <xf numFmtId="169" fontId="6" fillId="0" borderId="12" xfId="2" applyNumberFormat="1" applyFont="1" applyFill="1" applyBorder="1" applyAlignment="1">
      <alignment horizontal="right" vertical="center"/>
    </xf>
    <xf numFmtId="0" fontId="6" fillId="0" borderId="31" xfId="0" applyFont="1" applyBorder="1" applyAlignment="1">
      <alignment horizontal="center" vertical="center"/>
    </xf>
    <xf numFmtId="169" fontId="6" fillId="0" borderId="23" xfId="2" applyNumberFormat="1" applyFont="1" applyFill="1" applyBorder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6" fillId="0" borderId="26" xfId="0" quotePrefix="1" applyFont="1" applyBorder="1" applyAlignment="1">
      <alignment horizontal="right" vertical="center"/>
    </xf>
    <xf numFmtId="0" fontId="6" fillId="0" borderId="37" xfId="0" applyFont="1" applyBorder="1" applyAlignment="1">
      <alignment horizontal="center" vertical="center"/>
    </xf>
    <xf numFmtId="167" fontId="6" fillId="0" borderId="35" xfId="2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left" vertical="center" wrapText="1" indent="1"/>
    </xf>
    <xf numFmtId="0" fontId="8" fillId="0" borderId="18" xfId="0" applyFont="1" applyBorder="1" applyAlignment="1">
      <alignment horizontal="left" vertical="center" wrapText="1" indent="1"/>
    </xf>
    <xf numFmtId="0" fontId="6" fillId="4" borderId="23" xfId="0" applyFont="1" applyFill="1" applyBorder="1" applyAlignment="1">
      <alignment horizontal="right" vertical="center"/>
    </xf>
    <xf numFmtId="0" fontId="9" fillId="4" borderId="15" xfId="0" applyFont="1" applyFill="1" applyBorder="1" applyAlignment="1">
      <alignment vertical="center" wrapText="1"/>
    </xf>
    <xf numFmtId="167" fontId="11" fillId="4" borderId="28" xfId="2" applyNumberFormat="1" applyFont="1" applyFill="1" applyBorder="1" applyAlignment="1">
      <alignment vertical="center"/>
    </xf>
    <xf numFmtId="168" fontId="4" fillId="4" borderId="12" xfId="2" applyNumberFormat="1" applyFont="1" applyFill="1" applyBorder="1" applyAlignment="1">
      <alignment vertical="center"/>
    </xf>
    <xf numFmtId="0" fontId="13" fillId="4" borderId="2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 indent="1"/>
    </xf>
    <xf numFmtId="168" fontId="6" fillId="0" borderId="12" xfId="2" applyNumberFormat="1" applyFont="1" applyFill="1" applyBorder="1" applyAlignment="1">
      <alignment vertical="center"/>
    </xf>
    <xf numFmtId="165" fontId="8" fillId="0" borderId="28" xfId="4" applyFont="1" applyBorder="1" applyAlignment="1">
      <alignment vertical="center"/>
    </xf>
    <xf numFmtId="0" fontId="12" fillId="4" borderId="15" xfId="0" applyFont="1" applyFill="1" applyBorder="1" applyAlignment="1">
      <alignment vertical="center" wrapText="1"/>
    </xf>
    <xf numFmtId="2" fontId="8" fillId="4" borderId="28" xfId="2" applyNumberFormat="1" applyFont="1" applyFill="1" applyBorder="1" applyAlignment="1">
      <alignment vertical="center"/>
    </xf>
    <xf numFmtId="0" fontId="6" fillId="0" borderId="33" xfId="0" applyFont="1" applyBorder="1" applyAlignment="1">
      <alignment horizontal="left" vertical="center" wrapText="1" indent="1"/>
    </xf>
    <xf numFmtId="168" fontId="6" fillId="0" borderId="48" xfId="2" applyNumberFormat="1" applyFont="1" applyBorder="1" applyAlignment="1">
      <alignment horizontal="right" vertical="center"/>
    </xf>
    <xf numFmtId="2" fontId="8" fillId="0" borderId="38" xfId="2" applyNumberFormat="1" applyFont="1" applyFill="1" applyBorder="1" applyAlignment="1">
      <alignment vertical="center"/>
    </xf>
    <xf numFmtId="168" fontId="6" fillId="4" borderId="16" xfId="2" applyNumberFormat="1" applyFont="1" applyFill="1" applyBorder="1" applyAlignment="1">
      <alignment vertical="center"/>
    </xf>
    <xf numFmtId="0" fontId="8" fillId="4" borderId="41" xfId="0" applyFont="1" applyFill="1" applyBorder="1" applyAlignment="1">
      <alignment horizontal="center" vertical="center"/>
    </xf>
    <xf numFmtId="164" fontId="8" fillId="4" borderId="17" xfId="2" applyNumberFormat="1" applyFont="1" applyFill="1" applyBorder="1" applyAlignment="1">
      <alignment vertical="center"/>
    </xf>
    <xf numFmtId="0" fontId="6" fillId="0" borderId="12" xfId="0" applyFont="1" applyBorder="1" applyAlignment="1">
      <alignment horizontal="left" vertical="center" wrapText="1" indent="1"/>
    </xf>
    <xf numFmtId="168" fontId="6" fillId="0" borderId="12" xfId="2" applyNumberFormat="1" applyFont="1" applyBorder="1" applyAlignment="1">
      <alignment horizontal="right" vertical="center"/>
    </xf>
    <xf numFmtId="167" fontId="8" fillId="0" borderId="38" xfId="2" applyNumberFormat="1" applyFont="1" applyBorder="1" applyAlignment="1">
      <alignment vertical="center"/>
    </xf>
    <xf numFmtId="168" fontId="6" fillId="4" borderId="48" xfId="2" applyNumberFormat="1" applyFont="1" applyFill="1" applyBorder="1" applyAlignment="1">
      <alignment horizontal="right" vertical="center"/>
    </xf>
    <xf numFmtId="0" fontId="9" fillId="4" borderId="39" xfId="0" quotePrefix="1" applyFont="1" applyFill="1" applyBorder="1" applyAlignment="1">
      <alignment horizontal="right" vertical="center"/>
    </xf>
    <xf numFmtId="0" fontId="4" fillId="4" borderId="34" xfId="0" quotePrefix="1" applyFont="1" applyFill="1" applyBorder="1" applyAlignment="1">
      <alignment horizontal="right" vertical="center"/>
    </xf>
    <xf numFmtId="168" fontId="6" fillId="4" borderId="16" xfId="2" applyNumberFormat="1" applyFont="1" applyFill="1" applyBorder="1" applyAlignment="1">
      <alignment horizontal="right" vertical="center"/>
    </xf>
    <xf numFmtId="167" fontId="6" fillId="4" borderId="38" xfId="2" applyNumberFormat="1" applyFont="1" applyFill="1" applyBorder="1" applyAlignment="1">
      <alignment vertical="center"/>
    </xf>
    <xf numFmtId="0" fontId="4" fillId="3" borderId="45" xfId="0" applyFont="1" applyFill="1" applyBorder="1" applyAlignment="1">
      <alignment horizontal="right" vertical="center"/>
    </xf>
    <xf numFmtId="0" fontId="9" fillId="3" borderId="34" xfId="0" quotePrefix="1" applyFont="1" applyFill="1" applyBorder="1" applyAlignment="1">
      <alignment horizontal="right" vertical="center"/>
    </xf>
    <xf numFmtId="0" fontId="9" fillId="3" borderId="42" xfId="0" applyFont="1" applyFill="1" applyBorder="1" applyAlignment="1">
      <alignment vertical="center" wrapText="1"/>
    </xf>
    <xf numFmtId="168" fontId="6" fillId="3" borderId="16" xfId="2" applyNumberFormat="1" applyFont="1" applyFill="1" applyBorder="1" applyAlignment="1">
      <alignment vertical="center"/>
    </xf>
    <xf numFmtId="0" fontId="4" fillId="3" borderId="44" xfId="0" applyFont="1" applyFill="1" applyBorder="1" applyAlignment="1">
      <alignment horizontal="center" vertical="center"/>
    </xf>
    <xf numFmtId="167" fontId="11" fillId="3" borderId="41" xfId="2" applyNumberFormat="1" applyFont="1" applyFill="1" applyBorder="1" applyAlignment="1">
      <alignment vertical="center"/>
    </xf>
    <xf numFmtId="164" fontId="8" fillId="3" borderId="17" xfId="2" applyNumberFormat="1" applyFont="1" applyFill="1" applyBorder="1" applyAlignment="1">
      <alignment vertical="center"/>
    </xf>
    <xf numFmtId="164" fontId="4" fillId="4" borderId="18" xfId="2" applyNumberFormat="1" applyFont="1" applyFill="1" applyBorder="1" applyAlignment="1">
      <alignment vertical="center"/>
    </xf>
    <xf numFmtId="165" fontId="6" fillId="0" borderId="28" xfId="4" applyFont="1" applyFill="1" applyBorder="1" applyAlignment="1">
      <alignment vertical="center"/>
    </xf>
    <xf numFmtId="0" fontId="9" fillId="4" borderId="19" xfId="0" applyFont="1" applyFill="1" applyBorder="1" applyAlignment="1">
      <alignment horizontal="right" vertical="center"/>
    </xf>
    <xf numFmtId="0" fontId="12" fillId="4" borderId="49" xfId="0" applyFont="1" applyFill="1" applyBorder="1" applyAlignment="1">
      <alignment vertical="center" wrapText="1"/>
    </xf>
    <xf numFmtId="0" fontId="6" fillId="4" borderId="50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right" vertical="center"/>
    </xf>
    <xf numFmtId="167" fontId="11" fillId="4" borderId="41" xfId="2" applyNumberFormat="1" applyFont="1" applyFill="1" applyBorder="1" applyAlignment="1">
      <alignment vertical="center"/>
    </xf>
    <xf numFmtId="168" fontId="4" fillId="4" borderId="16" xfId="2" applyNumberFormat="1" applyFont="1" applyFill="1" applyBorder="1" applyAlignment="1">
      <alignment vertical="center"/>
    </xf>
    <xf numFmtId="0" fontId="6" fillId="0" borderId="19" xfId="0" applyFont="1" applyBorder="1" applyAlignment="1">
      <alignment horizontal="right" vertical="center"/>
    </xf>
    <xf numFmtId="168" fontId="4" fillId="0" borderId="48" xfId="2" applyNumberFormat="1" applyFont="1" applyFill="1" applyBorder="1" applyAlignment="1">
      <alignment horizontal="right" vertical="center"/>
    </xf>
    <xf numFmtId="0" fontId="12" fillId="4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vertical="center" wrapText="1"/>
    </xf>
    <xf numFmtId="0" fontId="7" fillId="0" borderId="2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5">
    <cellStyle name="Comma" xfId="2" builtinId="3"/>
    <cellStyle name="Comma 2" xfId="4" xr:uid="{00000000-0005-0000-0000-000001000000}"/>
    <cellStyle name="Currency" xfId="3" builtinId="4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EFF0-F7EB-4623-9DBA-E98E54AA13A9}">
  <sheetPr>
    <pageSetUpPr fitToPage="1"/>
  </sheetPr>
  <dimension ref="A1:G27"/>
  <sheetViews>
    <sheetView tabSelected="1" zoomScale="115" zoomScaleNormal="115" workbookViewId="0">
      <pane xSplit="7" ySplit="4" topLeftCell="H5" activePane="bottomRight" state="frozen"/>
      <selection pane="topRight" activeCell="I1" sqref="I1"/>
      <selection pane="bottomLeft" activeCell="A4" sqref="A4"/>
      <selection pane="bottomRight" activeCell="A28" sqref="A28:XFD125"/>
    </sheetView>
  </sheetViews>
  <sheetFormatPr defaultColWidth="9.140625" defaultRowHeight="13.5" x14ac:dyDescent="0.25"/>
  <cols>
    <col min="1" max="1" width="3.140625" style="68" customWidth="1"/>
    <col min="2" max="2" width="8.7109375" style="68" customWidth="1"/>
    <col min="3" max="3" width="60.85546875" style="1" customWidth="1"/>
    <col min="4" max="4" width="10.28515625" style="1" customWidth="1"/>
    <col min="5" max="5" width="7.42578125" style="1" customWidth="1"/>
    <col min="6" max="6" width="13.42578125" style="69" bestFit="1" customWidth="1"/>
    <col min="7" max="7" width="12.7109375" style="67" customWidth="1"/>
    <col min="8" max="16384" width="9.140625" style="1"/>
  </cols>
  <sheetData>
    <row r="1" spans="1:7" ht="15.75" customHeight="1" thickBot="1" x14ac:dyDescent="0.3">
      <c r="A1" s="192" t="s">
        <v>0</v>
      </c>
      <c r="B1" s="193"/>
      <c r="C1" s="193"/>
      <c r="D1" s="193"/>
      <c r="E1" s="193"/>
      <c r="F1" s="193"/>
      <c r="G1" s="194"/>
    </row>
    <row r="2" spans="1:7" ht="15.75" customHeight="1" thickBot="1" x14ac:dyDescent="0.3">
      <c r="A2" s="195" t="s">
        <v>11</v>
      </c>
      <c r="B2" s="196"/>
      <c r="C2" s="196"/>
      <c r="D2" s="196"/>
      <c r="E2" s="196"/>
      <c r="F2" s="196"/>
      <c r="G2" s="197"/>
    </row>
    <row r="3" spans="1:7" ht="55.5" customHeight="1" thickBot="1" x14ac:dyDescent="0.3">
      <c r="A3" s="2"/>
      <c r="B3" s="187" t="s">
        <v>1</v>
      </c>
      <c r="C3" s="187"/>
      <c r="D3" s="188" t="s">
        <v>2</v>
      </c>
      <c r="E3" s="188"/>
      <c r="F3" s="3">
        <v>46204</v>
      </c>
      <c r="G3" s="4" t="s">
        <v>3</v>
      </c>
    </row>
    <row r="4" spans="1:7" ht="14.25" thickBot="1" x14ac:dyDescent="0.3">
      <c r="A4" s="6"/>
      <c r="B4" s="7"/>
      <c r="C4" s="8" t="s">
        <v>4</v>
      </c>
      <c r="D4" s="9" t="s">
        <v>5</v>
      </c>
      <c r="E4" s="10" t="s">
        <v>6</v>
      </c>
      <c r="F4" s="11" t="s">
        <v>7</v>
      </c>
      <c r="G4" s="12" t="s">
        <v>8</v>
      </c>
    </row>
    <row r="5" spans="1:7" ht="14.25" thickBot="1" x14ac:dyDescent="0.3">
      <c r="A5" s="13">
        <v>3</v>
      </c>
      <c r="B5" s="28"/>
      <c r="C5" s="14" t="s">
        <v>13</v>
      </c>
      <c r="D5" s="29"/>
      <c r="E5" s="15"/>
      <c r="F5" s="16">
        <f>SUM(G6:G23)</f>
        <v>0</v>
      </c>
      <c r="G5" s="17"/>
    </row>
    <row r="6" spans="1:7" x14ac:dyDescent="0.25">
      <c r="A6" s="82"/>
      <c r="B6" s="45">
        <v>3.1</v>
      </c>
      <c r="C6" s="183" t="s">
        <v>14</v>
      </c>
      <c r="D6" s="98"/>
      <c r="E6" s="85"/>
      <c r="F6" s="51"/>
      <c r="G6" s="83"/>
    </row>
    <row r="7" spans="1:7" x14ac:dyDescent="0.25">
      <c r="A7" s="123"/>
      <c r="B7" s="124" t="s">
        <v>15</v>
      </c>
      <c r="C7" s="125" t="s">
        <v>16</v>
      </c>
      <c r="D7" s="121">
        <f>'stormwater pipe calcs'!AJ46</f>
        <v>34.817999999999998</v>
      </c>
      <c r="E7" s="21" t="s">
        <v>10</v>
      </c>
      <c r="F7" s="22"/>
      <c r="G7" s="74">
        <f t="shared" ref="G7:G11" si="0">+F7*D7</f>
        <v>0</v>
      </c>
    </row>
    <row r="8" spans="1:7" x14ac:dyDescent="0.25">
      <c r="A8" s="123"/>
      <c r="B8" s="124" t="s">
        <v>17</v>
      </c>
      <c r="C8" s="125" t="s">
        <v>18</v>
      </c>
      <c r="D8" s="121">
        <f>'stormwater pipe calcs'!AJ45</f>
        <v>58.268000000000001</v>
      </c>
      <c r="E8" s="21" t="s">
        <v>10</v>
      </c>
      <c r="F8" s="22"/>
      <c r="G8" s="74">
        <f t="shared" si="0"/>
        <v>0</v>
      </c>
    </row>
    <row r="9" spans="1:7" x14ac:dyDescent="0.25">
      <c r="A9" s="123"/>
      <c r="B9" s="124" t="s">
        <v>19</v>
      </c>
      <c r="C9" s="125" t="s">
        <v>20</v>
      </c>
      <c r="D9" s="121">
        <f>'stormwater pipe calcs'!AJ44</f>
        <v>17.341999999999999</v>
      </c>
      <c r="E9" s="21" t="s">
        <v>10</v>
      </c>
      <c r="F9" s="22"/>
      <c r="G9" s="74">
        <f t="shared" si="0"/>
        <v>0</v>
      </c>
    </row>
    <row r="10" spans="1:7" x14ac:dyDescent="0.25">
      <c r="A10" s="123"/>
      <c r="B10" s="124" t="s">
        <v>21</v>
      </c>
      <c r="C10" s="125" t="s">
        <v>22</v>
      </c>
      <c r="D10" s="121">
        <v>235.2</v>
      </c>
      <c r="E10" s="21" t="s">
        <v>10</v>
      </c>
      <c r="F10" s="22"/>
      <c r="G10" s="74">
        <f t="shared" si="0"/>
        <v>0</v>
      </c>
    </row>
    <row r="11" spans="1:7" x14ac:dyDescent="0.25">
      <c r="A11" s="123"/>
      <c r="B11" s="124" t="s">
        <v>23</v>
      </c>
      <c r="C11" s="125" t="s">
        <v>24</v>
      </c>
      <c r="D11" s="121">
        <v>33.6</v>
      </c>
      <c r="E11" s="21" t="s">
        <v>10</v>
      </c>
      <c r="F11" s="22"/>
      <c r="G11" s="74">
        <f t="shared" si="0"/>
        <v>0</v>
      </c>
    </row>
    <row r="12" spans="1:7" x14ac:dyDescent="0.25">
      <c r="A12" s="82"/>
      <c r="B12" s="45">
        <v>3.2</v>
      </c>
      <c r="C12" s="183" t="s">
        <v>25</v>
      </c>
      <c r="D12" s="98"/>
      <c r="E12" s="85"/>
      <c r="F12" s="51"/>
      <c r="G12" s="83"/>
    </row>
    <row r="13" spans="1:7" x14ac:dyDescent="0.25">
      <c r="A13" s="123"/>
      <c r="B13" s="124" t="s">
        <v>26</v>
      </c>
      <c r="C13" s="125" t="s">
        <v>27</v>
      </c>
      <c r="D13" s="121">
        <v>2</v>
      </c>
      <c r="E13" s="21" t="s">
        <v>28</v>
      </c>
      <c r="F13" s="22"/>
      <c r="G13" s="74">
        <f t="shared" ref="G13:G16" si="1">+F13*D13</f>
        <v>0</v>
      </c>
    </row>
    <row r="14" spans="1:7" x14ac:dyDescent="0.25">
      <c r="A14" s="123"/>
      <c r="B14" s="124" t="s">
        <v>29</v>
      </c>
      <c r="C14" s="125" t="s">
        <v>30</v>
      </c>
      <c r="D14" s="121">
        <v>1</v>
      </c>
      <c r="E14" s="21" t="s">
        <v>28</v>
      </c>
      <c r="F14" s="22"/>
      <c r="G14" s="74">
        <f t="shared" si="1"/>
        <v>0</v>
      </c>
    </row>
    <row r="15" spans="1:7" x14ac:dyDescent="0.25">
      <c r="A15" s="123"/>
      <c r="B15" s="124" t="s">
        <v>31</v>
      </c>
      <c r="C15" s="125" t="s">
        <v>32</v>
      </c>
      <c r="D15" s="121">
        <v>2</v>
      </c>
      <c r="E15" s="21" t="s">
        <v>28</v>
      </c>
      <c r="F15" s="22"/>
      <c r="G15" s="74">
        <f t="shared" si="1"/>
        <v>0</v>
      </c>
    </row>
    <row r="16" spans="1:7" x14ac:dyDescent="0.25">
      <c r="A16" s="123"/>
      <c r="B16" s="124" t="s">
        <v>33</v>
      </c>
      <c r="C16" s="125" t="s">
        <v>34</v>
      </c>
      <c r="D16" s="121">
        <v>1</v>
      </c>
      <c r="E16" s="21" t="s">
        <v>28</v>
      </c>
      <c r="F16" s="22"/>
      <c r="G16" s="74">
        <f t="shared" si="1"/>
        <v>0</v>
      </c>
    </row>
    <row r="17" spans="1:7" x14ac:dyDescent="0.25">
      <c r="A17" s="82"/>
      <c r="B17" s="45">
        <v>3.3</v>
      </c>
      <c r="C17" s="183" t="s">
        <v>35</v>
      </c>
      <c r="D17" s="98"/>
      <c r="E17" s="85"/>
      <c r="F17" s="51"/>
      <c r="G17" s="83"/>
    </row>
    <row r="18" spans="1:7" x14ac:dyDescent="0.25">
      <c r="A18" s="123"/>
      <c r="B18" s="124" t="s">
        <v>36</v>
      </c>
      <c r="C18" s="125" t="s">
        <v>37</v>
      </c>
      <c r="D18" s="121">
        <v>1</v>
      </c>
      <c r="E18" s="21" t="s">
        <v>28</v>
      </c>
      <c r="F18" s="22"/>
      <c r="G18" s="74"/>
    </row>
    <row r="19" spans="1:7" x14ac:dyDescent="0.25">
      <c r="A19" s="123"/>
      <c r="B19" s="124" t="s">
        <v>38</v>
      </c>
      <c r="C19" s="125" t="s">
        <v>39</v>
      </c>
      <c r="D19" s="121">
        <v>1</v>
      </c>
      <c r="E19" s="21" t="s">
        <v>28</v>
      </c>
      <c r="F19" s="22"/>
      <c r="G19" s="74"/>
    </row>
    <row r="20" spans="1:7" x14ac:dyDescent="0.25">
      <c r="A20" s="70"/>
      <c r="B20" s="23">
        <v>3.4</v>
      </c>
      <c r="C20" s="119" t="s">
        <v>40</v>
      </c>
      <c r="D20" s="127">
        <v>1072.3</v>
      </c>
      <c r="E20" s="72" t="s">
        <v>12</v>
      </c>
      <c r="F20" s="25"/>
      <c r="G20" s="55">
        <f>F20*D20</f>
        <v>0</v>
      </c>
    </row>
    <row r="21" spans="1:7" ht="27" x14ac:dyDescent="0.25">
      <c r="A21" s="70"/>
      <c r="B21" s="23">
        <v>3.5</v>
      </c>
      <c r="C21" s="119" t="s">
        <v>41</v>
      </c>
      <c r="D21" s="128">
        <v>2</v>
      </c>
      <c r="E21" s="72" t="s">
        <v>42</v>
      </c>
      <c r="F21" s="25"/>
      <c r="G21" s="55">
        <f t="shared" ref="G21:G23" si="2">F21*D21</f>
        <v>0</v>
      </c>
    </row>
    <row r="22" spans="1:7" x14ac:dyDescent="0.25">
      <c r="A22" s="84"/>
      <c r="B22" s="23">
        <v>3.6</v>
      </c>
      <c r="C22" s="86" t="s">
        <v>43</v>
      </c>
      <c r="D22" s="111">
        <v>1</v>
      </c>
      <c r="E22" s="72" t="s">
        <v>28</v>
      </c>
      <c r="F22" s="25"/>
      <c r="G22" s="55">
        <f t="shared" si="2"/>
        <v>0</v>
      </c>
    </row>
    <row r="23" spans="1:7" ht="14.25" thickBot="1" x14ac:dyDescent="0.3">
      <c r="A23" s="120"/>
      <c r="B23" s="38">
        <v>3.7</v>
      </c>
      <c r="C23" s="86" t="s">
        <v>44</v>
      </c>
      <c r="D23" s="111">
        <v>2</v>
      </c>
      <c r="E23" s="27" t="s">
        <v>28</v>
      </c>
      <c r="F23" s="25"/>
      <c r="G23" s="24">
        <f t="shared" si="2"/>
        <v>0</v>
      </c>
    </row>
    <row r="24" spans="1:7" ht="14.25" thickBot="1" x14ac:dyDescent="0.3">
      <c r="A24" s="13">
        <v>4</v>
      </c>
      <c r="B24" s="48"/>
      <c r="C24" s="14" t="s">
        <v>45</v>
      </c>
      <c r="D24" s="29"/>
      <c r="E24" s="15"/>
      <c r="F24" s="16" t="e">
        <f>SUM(G25:G27)</f>
        <v>#REF!</v>
      </c>
      <c r="G24" s="17"/>
    </row>
    <row r="25" spans="1:7" x14ac:dyDescent="0.25">
      <c r="A25" s="44"/>
      <c r="B25" s="45">
        <v>4.0999999999999996</v>
      </c>
      <c r="C25" s="184" t="s">
        <v>46</v>
      </c>
      <c r="D25" s="50"/>
      <c r="E25" s="46"/>
      <c r="F25" s="51"/>
      <c r="G25" s="52"/>
    </row>
    <row r="26" spans="1:7" x14ac:dyDescent="0.25">
      <c r="A26" s="123"/>
      <c r="B26" s="124" t="s">
        <v>47</v>
      </c>
      <c r="C26" s="125" t="s">
        <v>48</v>
      </c>
      <c r="D26" s="121" t="e">
        <f>#REF!</f>
        <v>#REF!</v>
      </c>
      <c r="E26" s="21" t="s">
        <v>10</v>
      </c>
      <c r="F26" s="22"/>
      <c r="G26" s="74" t="e">
        <f>+F26*D26</f>
        <v>#REF!</v>
      </c>
    </row>
    <row r="27" spans="1:7" x14ac:dyDescent="0.25">
      <c r="A27" s="123"/>
      <c r="B27" s="124" t="s">
        <v>49</v>
      </c>
      <c r="C27" s="125" t="s">
        <v>50</v>
      </c>
      <c r="D27" s="126" t="e">
        <f>D26/50</f>
        <v>#REF!</v>
      </c>
      <c r="E27" s="21" t="s">
        <v>28</v>
      </c>
      <c r="F27" s="22"/>
      <c r="G27" s="74" t="e">
        <f>+F27*D27</f>
        <v>#REF!</v>
      </c>
    </row>
  </sheetData>
  <mergeCells count="4">
    <mergeCell ref="A1:G1"/>
    <mergeCell ref="A2:G2"/>
    <mergeCell ref="B3:C3"/>
    <mergeCell ref="D3:E3"/>
  </mergeCells>
  <phoneticPr fontId="3" type="noConversion"/>
  <pageMargins left="0.70866141732283472" right="0.31496062992125984" top="0.35433070866141736" bottom="0.35433070866141736" header="0" footer="0.19685039370078741"/>
  <pageSetup paperSize="8" fitToHeight="0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5CBF-EF64-452A-B481-D01D236FF831}">
  <sheetPr>
    <pageSetUpPr fitToPage="1"/>
  </sheetPr>
  <dimension ref="A1:G72"/>
  <sheetViews>
    <sheetView zoomScale="130" zoomScaleNormal="130" workbookViewId="0">
      <pane xSplit="7" ySplit="4" topLeftCell="H13" activePane="bottomRight" state="frozen"/>
      <selection pane="topRight" activeCell="G938" sqref="G938"/>
      <selection pane="bottomLeft" activeCell="G938" sqref="G938"/>
      <selection pane="bottomRight" activeCell="A64" sqref="A64:XFD111"/>
    </sheetView>
  </sheetViews>
  <sheetFormatPr defaultColWidth="9.140625" defaultRowHeight="13.5" x14ac:dyDescent="0.25"/>
  <cols>
    <col min="1" max="1" width="3.140625" style="68" customWidth="1"/>
    <col min="2" max="2" width="8.7109375" style="68" customWidth="1"/>
    <col min="3" max="3" width="60.85546875" style="1" customWidth="1"/>
    <col min="4" max="4" width="10.28515625" style="96" customWidth="1"/>
    <col min="5" max="5" width="7.42578125" style="1" customWidth="1"/>
    <col min="6" max="6" width="12.7109375" style="69" bestFit="1" customWidth="1"/>
    <col min="7" max="7" width="12.7109375" style="67" customWidth="1"/>
    <col min="8" max="16384" width="9.140625" style="1"/>
  </cols>
  <sheetData>
    <row r="1" spans="1:7" ht="16.5" thickBot="1" x14ac:dyDescent="0.3">
      <c r="A1" s="192" t="s">
        <v>0</v>
      </c>
      <c r="B1" s="193"/>
      <c r="C1" s="193"/>
      <c r="D1" s="193"/>
      <c r="E1" s="193"/>
      <c r="F1" s="193"/>
      <c r="G1" s="194"/>
    </row>
    <row r="2" spans="1:7" ht="16.5" customHeight="1" thickBot="1" x14ac:dyDescent="0.3">
      <c r="A2" s="198" t="s">
        <v>51</v>
      </c>
      <c r="B2" s="199"/>
      <c r="C2" s="199"/>
      <c r="D2" s="199"/>
      <c r="E2" s="199"/>
      <c r="F2" s="199"/>
      <c r="G2" s="200"/>
    </row>
    <row r="3" spans="1:7" ht="60.75" customHeight="1" thickBot="1" x14ac:dyDescent="0.3">
      <c r="A3" s="2"/>
      <c r="B3" s="187" t="s">
        <v>1</v>
      </c>
      <c r="C3" s="187"/>
      <c r="D3" s="188" t="s">
        <v>2</v>
      </c>
      <c r="E3" s="188"/>
      <c r="F3" s="3">
        <v>46204</v>
      </c>
      <c r="G3" s="4" t="s">
        <v>52</v>
      </c>
    </row>
    <row r="4" spans="1:7" ht="14.25" thickBot="1" x14ac:dyDescent="0.3">
      <c r="A4" s="6"/>
      <c r="B4" s="7"/>
      <c r="C4" s="8" t="s">
        <v>4</v>
      </c>
      <c r="D4" s="88" t="s">
        <v>5</v>
      </c>
      <c r="E4" s="10" t="s">
        <v>6</v>
      </c>
      <c r="F4" s="11" t="s">
        <v>7</v>
      </c>
      <c r="G4" s="12" t="s">
        <v>8</v>
      </c>
    </row>
    <row r="5" spans="1:7" ht="14.25" thickBot="1" x14ac:dyDescent="0.3">
      <c r="A5" s="13">
        <v>3</v>
      </c>
      <c r="B5" s="28"/>
      <c r="C5" s="14" t="s">
        <v>13</v>
      </c>
      <c r="D5" s="89"/>
      <c r="E5" s="15"/>
      <c r="F5" s="16">
        <f>SUM(G6:G30)</f>
        <v>0</v>
      </c>
      <c r="G5" s="17"/>
    </row>
    <row r="6" spans="1:7" x14ac:dyDescent="0.25">
      <c r="A6" s="30"/>
      <c r="B6" s="31">
        <v>3.1</v>
      </c>
      <c r="C6" s="186" t="s">
        <v>14</v>
      </c>
      <c r="D6" s="95"/>
      <c r="E6" s="32"/>
      <c r="F6" s="33"/>
      <c r="G6" s="34"/>
    </row>
    <row r="7" spans="1:7" x14ac:dyDescent="0.25">
      <c r="A7" s="123"/>
      <c r="B7" s="73" t="s">
        <v>15</v>
      </c>
      <c r="C7" s="130" t="s">
        <v>16</v>
      </c>
      <c r="D7" s="133">
        <f>'stormwater pipe calcs'!AJ10</f>
        <v>584.49499999999989</v>
      </c>
      <c r="E7" s="134" t="s">
        <v>10</v>
      </c>
      <c r="F7" s="122"/>
      <c r="G7" s="131">
        <f>F7*D7</f>
        <v>0</v>
      </c>
    </row>
    <row r="8" spans="1:7" x14ac:dyDescent="0.25">
      <c r="A8" s="123"/>
      <c r="B8" s="73" t="s">
        <v>17</v>
      </c>
      <c r="C8" s="130" t="s">
        <v>53</v>
      </c>
      <c r="D8" s="133">
        <f>'stormwater pipe calcs'!AJ9</f>
        <v>163.51900000000001</v>
      </c>
      <c r="E8" s="134" t="s">
        <v>10</v>
      </c>
      <c r="F8" s="122"/>
      <c r="G8" s="131">
        <f t="shared" ref="G8:G14" si="0">F8*D8</f>
        <v>0</v>
      </c>
    </row>
    <row r="9" spans="1:7" x14ac:dyDescent="0.25">
      <c r="A9" s="123"/>
      <c r="B9" s="73" t="s">
        <v>19</v>
      </c>
      <c r="C9" s="130" t="s">
        <v>54</v>
      </c>
      <c r="D9" s="133">
        <f>'stormwater pipe calcs'!AJ8</f>
        <v>311.41999999999996</v>
      </c>
      <c r="E9" s="134" t="s">
        <v>10</v>
      </c>
      <c r="F9" s="122"/>
      <c r="G9" s="131">
        <f t="shared" si="0"/>
        <v>0</v>
      </c>
    </row>
    <row r="10" spans="1:7" x14ac:dyDescent="0.25">
      <c r="A10" s="123"/>
      <c r="B10" s="73" t="s">
        <v>21</v>
      </c>
      <c r="C10" s="130" t="s">
        <v>55</v>
      </c>
      <c r="D10" s="133">
        <f>'stormwater pipe calcs'!AJ7</f>
        <v>308.971</v>
      </c>
      <c r="E10" s="134" t="s">
        <v>10</v>
      </c>
      <c r="F10" s="122"/>
      <c r="G10" s="131">
        <f t="shared" si="0"/>
        <v>0</v>
      </c>
    </row>
    <row r="11" spans="1:7" x14ac:dyDescent="0.25">
      <c r="A11" s="123"/>
      <c r="B11" s="73" t="s">
        <v>23</v>
      </c>
      <c r="C11" s="130" t="s">
        <v>18</v>
      </c>
      <c r="D11" s="133">
        <f>'stormwater pipe calcs'!AJ6</f>
        <v>34.387999999999998</v>
      </c>
      <c r="E11" s="134" t="s">
        <v>10</v>
      </c>
      <c r="F11" s="122"/>
      <c r="G11" s="131">
        <f t="shared" si="0"/>
        <v>0</v>
      </c>
    </row>
    <row r="12" spans="1:7" x14ac:dyDescent="0.25">
      <c r="A12" s="123"/>
      <c r="B12" s="73" t="s">
        <v>56</v>
      </c>
      <c r="C12" s="130" t="s">
        <v>20</v>
      </c>
      <c r="D12" s="133">
        <f>'stormwater pipe calcs'!AJ5</f>
        <v>19.893000000000001</v>
      </c>
      <c r="E12" s="134" t="s">
        <v>10</v>
      </c>
      <c r="F12" s="122"/>
      <c r="G12" s="131">
        <f t="shared" si="0"/>
        <v>0</v>
      </c>
    </row>
    <row r="13" spans="1:7" x14ac:dyDescent="0.25">
      <c r="A13" s="123"/>
      <c r="B13" s="73" t="s">
        <v>57</v>
      </c>
      <c r="C13" s="130" t="s">
        <v>58</v>
      </c>
      <c r="D13" s="135">
        <f>'stormwater pipe calcs'!AJ4</f>
        <v>37.573999999999998</v>
      </c>
      <c r="E13" s="134" t="s">
        <v>10</v>
      </c>
      <c r="F13" s="66"/>
      <c r="G13" s="131">
        <f t="shared" si="0"/>
        <v>0</v>
      </c>
    </row>
    <row r="14" spans="1:7" x14ac:dyDescent="0.25">
      <c r="A14" s="136"/>
      <c r="B14" s="137" t="s">
        <v>59</v>
      </c>
      <c r="C14" s="57" t="s">
        <v>60</v>
      </c>
      <c r="D14" s="135">
        <f>'stormwater pipe calcs'!AJ3</f>
        <v>117.895</v>
      </c>
      <c r="E14" s="138" t="s">
        <v>10</v>
      </c>
      <c r="F14" s="139"/>
      <c r="G14" s="132">
        <f t="shared" si="0"/>
        <v>0</v>
      </c>
    </row>
    <row r="15" spans="1:7" x14ac:dyDescent="0.25">
      <c r="A15" s="37"/>
      <c r="B15" s="38">
        <v>3.2</v>
      </c>
      <c r="C15" s="39" t="s">
        <v>61</v>
      </c>
      <c r="D15" s="98"/>
      <c r="E15" s="40"/>
      <c r="F15" s="41"/>
      <c r="G15" s="42"/>
    </row>
    <row r="16" spans="1:7" x14ac:dyDescent="0.25">
      <c r="A16" s="123"/>
      <c r="B16" s="73" t="s">
        <v>26</v>
      </c>
      <c r="C16" s="130" t="s">
        <v>27</v>
      </c>
      <c r="D16" s="105">
        <v>7</v>
      </c>
      <c r="E16" s="134" t="s">
        <v>28</v>
      </c>
      <c r="F16" s="122"/>
      <c r="G16" s="131">
        <f>F16*D16</f>
        <v>0</v>
      </c>
    </row>
    <row r="17" spans="1:7" x14ac:dyDescent="0.25">
      <c r="A17" s="136"/>
      <c r="B17" s="137" t="s">
        <v>29</v>
      </c>
      <c r="C17" s="57" t="s">
        <v>30</v>
      </c>
      <c r="D17" s="105">
        <f>67-7-7</f>
        <v>53</v>
      </c>
      <c r="E17" s="134" t="s">
        <v>28</v>
      </c>
      <c r="F17" s="122"/>
      <c r="G17" s="131">
        <f>F17*D17</f>
        <v>0</v>
      </c>
    </row>
    <row r="18" spans="1:7" x14ac:dyDescent="0.25">
      <c r="A18" s="37"/>
      <c r="B18" s="38">
        <v>3.3</v>
      </c>
      <c r="C18" s="39" t="s">
        <v>62</v>
      </c>
      <c r="D18" s="98"/>
      <c r="E18" s="51"/>
      <c r="F18" s="51"/>
      <c r="G18" s="83"/>
    </row>
    <row r="19" spans="1:7" ht="27" x14ac:dyDescent="0.25">
      <c r="A19" s="123"/>
      <c r="B19" s="73" t="s">
        <v>36</v>
      </c>
      <c r="C19" s="140" t="s">
        <v>63</v>
      </c>
      <c r="D19" s="105">
        <v>1</v>
      </c>
      <c r="E19" s="134" t="s">
        <v>4</v>
      </c>
      <c r="F19" s="122"/>
      <c r="G19" s="131">
        <f>F19*D19</f>
        <v>0</v>
      </c>
    </row>
    <row r="20" spans="1:7" ht="27" x14ac:dyDescent="0.25">
      <c r="A20" s="123"/>
      <c r="B20" s="73" t="s">
        <v>38</v>
      </c>
      <c r="C20" s="140" t="s">
        <v>64</v>
      </c>
      <c r="D20" s="105">
        <v>1</v>
      </c>
      <c r="E20" s="134" t="s">
        <v>4</v>
      </c>
      <c r="F20" s="122"/>
      <c r="G20" s="131">
        <f t="shared" ref="G20:G25" si="1">F20*D20</f>
        <v>0</v>
      </c>
    </row>
    <row r="21" spans="1:7" ht="27" x14ac:dyDescent="0.25">
      <c r="A21" s="123"/>
      <c r="B21" s="73" t="s">
        <v>65</v>
      </c>
      <c r="C21" s="140" t="s">
        <v>66</v>
      </c>
      <c r="D21" s="105">
        <v>1</v>
      </c>
      <c r="E21" s="134" t="s">
        <v>4</v>
      </c>
      <c r="F21" s="122"/>
      <c r="G21" s="131">
        <f t="shared" si="1"/>
        <v>0</v>
      </c>
    </row>
    <row r="22" spans="1:7" ht="27" x14ac:dyDescent="0.25">
      <c r="A22" s="123"/>
      <c r="B22" s="73" t="s">
        <v>67</v>
      </c>
      <c r="C22" s="140" t="s">
        <v>68</v>
      </c>
      <c r="D22" s="105">
        <v>1</v>
      </c>
      <c r="E22" s="134" t="s">
        <v>4</v>
      </c>
      <c r="F22" s="122"/>
      <c r="G22" s="131">
        <f t="shared" si="1"/>
        <v>0</v>
      </c>
    </row>
    <row r="23" spans="1:7" ht="27" x14ac:dyDescent="0.25">
      <c r="A23" s="123"/>
      <c r="B23" s="73" t="s">
        <v>69</v>
      </c>
      <c r="C23" s="140" t="s">
        <v>70</v>
      </c>
      <c r="D23" s="105">
        <v>1</v>
      </c>
      <c r="E23" s="134" t="s">
        <v>4</v>
      </c>
      <c r="F23" s="122"/>
      <c r="G23" s="131">
        <f t="shared" si="1"/>
        <v>0</v>
      </c>
    </row>
    <row r="24" spans="1:7" ht="27" x14ac:dyDescent="0.25">
      <c r="A24" s="123"/>
      <c r="B24" s="73" t="s">
        <v>71</v>
      </c>
      <c r="C24" s="140" t="s">
        <v>72</v>
      </c>
      <c r="D24" s="105">
        <v>1</v>
      </c>
      <c r="E24" s="134" t="s">
        <v>4</v>
      </c>
      <c r="F24" s="122"/>
      <c r="G24" s="131">
        <f t="shared" si="1"/>
        <v>0</v>
      </c>
    </row>
    <row r="25" spans="1:7" ht="27" x14ac:dyDescent="0.25">
      <c r="A25" s="123"/>
      <c r="B25" s="73" t="s">
        <v>73</v>
      </c>
      <c r="C25" s="140" t="s">
        <v>74</v>
      </c>
      <c r="D25" s="105">
        <v>1</v>
      </c>
      <c r="E25" s="134" t="s">
        <v>4</v>
      </c>
      <c r="F25" s="122"/>
      <c r="G25" s="131">
        <f t="shared" si="1"/>
        <v>0</v>
      </c>
    </row>
    <row r="26" spans="1:7" x14ac:dyDescent="0.25">
      <c r="A26" s="82"/>
      <c r="B26" s="45">
        <v>3.4</v>
      </c>
      <c r="C26" s="183" t="s">
        <v>35</v>
      </c>
      <c r="D26" s="98"/>
      <c r="E26" s="85"/>
      <c r="F26" s="51"/>
      <c r="G26" s="83"/>
    </row>
    <row r="27" spans="1:7" x14ac:dyDescent="0.25">
      <c r="A27" s="123"/>
      <c r="B27" s="73" t="s">
        <v>75</v>
      </c>
      <c r="C27" s="140" t="s">
        <v>76</v>
      </c>
      <c r="D27" s="115">
        <v>1</v>
      </c>
      <c r="E27" s="134" t="s">
        <v>28</v>
      </c>
      <c r="F27" s="66"/>
      <c r="G27" s="131">
        <f>F27*D27</f>
        <v>0</v>
      </c>
    </row>
    <row r="28" spans="1:7" ht="27" x14ac:dyDescent="0.25">
      <c r="A28" s="123"/>
      <c r="B28" s="73" t="s">
        <v>77</v>
      </c>
      <c r="C28" s="140" t="s">
        <v>78</v>
      </c>
      <c r="D28" s="115">
        <v>1</v>
      </c>
      <c r="E28" s="134" t="s">
        <v>28</v>
      </c>
      <c r="F28" s="66"/>
      <c r="G28" s="131">
        <f t="shared" ref="G28:G29" si="2">F28*D28</f>
        <v>0</v>
      </c>
    </row>
    <row r="29" spans="1:7" ht="27" x14ac:dyDescent="0.25">
      <c r="A29" s="123"/>
      <c r="B29" s="73" t="s">
        <v>79</v>
      </c>
      <c r="C29" s="140" t="s">
        <v>80</v>
      </c>
      <c r="D29" s="115">
        <v>1</v>
      </c>
      <c r="E29" s="134" t="s">
        <v>28</v>
      </c>
      <c r="F29" s="66"/>
      <c r="G29" s="131">
        <f t="shared" si="2"/>
        <v>0</v>
      </c>
    </row>
    <row r="30" spans="1:7" ht="14.25" thickBot="1" x14ac:dyDescent="0.3">
      <c r="A30" s="84"/>
      <c r="B30" s="23">
        <v>3.5</v>
      </c>
      <c r="C30" s="86" t="s">
        <v>81</v>
      </c>
      <c r="D30" s="94">
        <v>1</v>
      </c>
      <c r="E30" s="87" t="s">
        <v>28</v>
      </c>
      <c r="F30" s="54"/>
      <c r="G30" s="55">
        <f>F30*D30</f>
        <v>0</v>
      </c>
    </row>
    <row r="31" spans="1:7" ht="14.25" thickBot="1" x14ac:dyDescent="0.3">
      <c r="A31" s="13">
        <v>4</v>
      </c>
      <c r="B31" s="28"/>
      <c r="C31" s="14" t="s">
        <v>82</v>
      </c>
      <c r="D31" s="89"/>
      <c r="E31" s="15"/>
      <c r="F31" s="16">
        <f>SUM(G32:G48)</f>
        <v>0</v>
      </c>
      <c r="G31" s="17"/>
    </row>
    <row r="32" spans="1:7" x14ac:dyDescent="0.25">
      <c r="A32" s="44"/>
      <c r="B32" s="45">
        <v>4.0999999999999996</v>
      </c>
      <c r="C32" s="184" t="s">
        <v>83</v>
      </c>
      <c r="D32" s="90"/>
      <c r="E32" s="60"/>
      <c r="F32" s="99"/>
      <c r="G32" s="47"/>
    </row>
    <row r="33" spans="1:7" x14ac:dyDescent="0.25">
      <c r="A33" s="123"/>
      <c r="B33" s="73" t="s">
        <v>47</v>
      </c>
      <c r="C33" s="130" t="s">
        <v>84</v>
      </c>
      <c r="D33" s="133">
        <f>'stormwater pipe calcs'!AJ16</f>
        <v>126.33</v>
      </c>
      <c r="E33" s="21" t="s">
        <v>10</v>
      </c>
      <c r="F33" s="22"/>
      <c r="G33" s="131">
        <f>+F33*D33</f>
        <v>0</v>
      </c>
    </row>
    <row r="34" spans="1:7" x14ac:dyDescent="0.25">
      <c r="A34" s="123"/>
      <c r="B34" s="73" t="s">
        <v>49</v>
      </c>
      <c r="C34" s="130" t="s">
        <v>85</v>
      </c>
      <c r="D34" s="133">
        <f>'stormwater pipe calcs'!AJ15</f>
        <v>122.869</v>
      </c>
      <c r="E34" s="21" t="s">
        <v>10</v>
      </c>
      <c r="F34" s="22"/>
      <c r="G34" s="131">
        <f t="shared" ref="G34:G36" si="3">+F34*D34</f>
        <v>0</v>
      </c>
    </row>
    <row r="35" spans="1:7" x14ac:dyDescent="0.25">
      <c r="A35" s="123"/>
      <c r="B35" s="73" t="s">
        <v>86</v>
      </c>
      <c r="C35" s="130" t="s">
        <v>87</v>
      </c>
      <c r="D35" s="133">
        <f>'stormwater pipe calcs'!AJ14</f>
        <v>134.23099999999999</v>
      </c>
      <c r="E35" s="21" t="s">
        <v>10</v>
      </c>
      <c r="F35" s="22"/>
      <c r="G35" s="131">
        <f t="shared" si="3"/>
        <v>0</v>
      </c>
    </row>
    <row r="36" spans="1:7" x14ac:dyDescent="0.25">
      <c r="A36" s="123"/>
      <c r="B36" s="73" t="s">
        <v>88</v>
      </c>
      <c r="C36" s="141" t="s">
        <v>89</v>
      </c>
      <c r="D36" s="133">
        <f>'stormwater pipe calcs'!AJ13</f>
        <v>250.36999999999998</v>
      </c>
      <c r="E36" s="21" t="s">
        <v>10</v>
      </c>
      <c r="F36" s="22"/>
      <c r="G36" s="131">
        <f t="shared" si="3"/>
        <v>0</v>
      </c>
    </row>
    <row r="37" spans="1:7" x14ac:dyDescent="0.25">
      <c r="A37" s="142"/>
      <c r="B37" s="23">
        <v>4.2</v>
      </c>
      <c r="C37" s="143" t="s">
        <v>90</v>
      </c>
      <c r="D37" s="102"/>
      <c r="E37" s="103"/>
      <c r="F37" s="144"/>
      <c r="G37" s="24"/>
    </row>
    <row r="38" spans="1:7" x14ac:dyDescent="0.25">
      <c r="A38" s="123"/>
      <c r="B38" s="73" t="s">
        <v>91</v>
      </c>
      <c r="C38" s="130" t="s">
        <v>92</v>
      </c>
      <c r="D38" s="115">
        <v>26</v>
      </c>
      <c r="E38" s="21" t="s">
        <v>28</v>
      </c>
      <c r="F38" s="22"/>
      <c r="G38" s="131">
        <f t="shared" ref="G38:G44" si="4">+F38*D38</f>
        <v>0</v>
      </c>
    </row>
    <row r="39" spans="1:7" x14ac:dyDescent="0.25">
      <c r="A39" s="123"/>
      <c r="B39" s="73" t="s">
        <v>93</v>
      </c>
      <c r="C39" s="130" t="s">
        <v>94</v>
      </c>
      <c r="D39" s="115">
        <v>44</v>
      </c>
      <c r="E39" s="21" t="s">
        <v>28</v>
      </c>
      <c r="F39" s="22"/>
      <c r="G39" s="131">
        <f t="shared" si="4"/>
        <v>0</v>
      </c>
    </row>
    <row r="40" spans="1:7" ht="27" x14ac:dyDescent="0.25">
      <c r="A40" s="123"/>
      <c r="B40" s="73" t="s">
        <v>95</v>
      </c>
      <c r="C40" s="130" t="s">
        <v>96</v>
      </c>
      <c r="D40" s="115">
        <v>264</v>
      </c>
      <c r="E40" s="21" t="s">
        <v>10</v>
      </c>
      <c r="F40" s="22"/>
      <c r="G40" s="131">
        <f t="shared" si="4"/>
        <v>0</v>
      </c>
    </row>
    <row r="41" spans="1:7" x14ac:dyDescent="0.25">
      <c r="A41" s="81"/>
      <c r="B41" s="23">
        <v>4.3</v>
      </c>
      <c r="C41" s="143" t="s">
        <v>97</v>
      </c>
      <c r="D41" s="145"/>
      <c r="E41" s="146"/>
      <c r="F41" s="25"/>
      <c r="G41" s="24"/>
    </row>
    <row r="42" spans="1:7" x14ac:dyDescent="0.25">
      <c r="A42" s="123"/>
      <c r="B42" s="73" t="s">
        <v>98</v>
      </c>
      <c r="C42" s="147" t="s">
        <v>99</v>
      </c>
      <c r="D42" s="148">
        <v>6</v>
      </c>
      <c r="E42" s="21" t="s">
        <v>28</v>
      </c>
      <c r="F42" s="149"/>
      <c r="G42" s="131">
        <f t="shared" si="4"/>
        <v>0</v>
      </c>
    </row>
    <row r="43" spans="1:7" x14ac:dyDescent="0.25">
      <c r="A43" s="123"/>
      <c r="B43" s="73" t="s">
        <v>100</v>
      </c>
      <c r="C43" s="147" t="s">
        <v>101</v>
      </c>
      <c r="D43" s="148">
        <v>7</v>
      </c>
      <c r="E43" s="21" t="s">
        <v>28</v>
      </c>
      <c r="F43" s="149"/>
      <c r="G43" s="131">
        <f t="shared" si="4"/>
        <v>0</v>
      </c>
    </row>
    <row r="44" spans="1:7" x14ac:dyDescent="0.25">
      <c r="A44" s="123"/>
      <c r="B44" s="73" t="s">
        <v>102</v>
      </c>
      <c r="C44" s="130" t="s">
        <v>103</v>
      </c>
      <c r="D44" s="148">
        <v>13</v>
      </c>
      <c r="E44" s="21" t="s">
        <v>28</v>
      </c>
      <c r="F44" s="22"/>
      <c r="G44" s="131">
        <f t="shared" si="4"/>
        <v>0</v>
      </c>
    </row>
    <row r="45" spans="1:7" x14ac:dyDescent="0.25">
      <c r="A45" s="81"/>
      <c r="B45" s="23">
        <v>4.4000000000000004</v>
      </c>
      <c r="C45" s="150" t="s">
        <v>35</v>
      </c>
      <c r="D45" s="145"/>
      <c r="E45" s="146"/>
      <c r="F45" s="25"/>
      <c r="G45" s="24"/>
    </row>
    <row r="46" spans="1:7" x14ac:dyDescent="0.25">
      <c r="A46" s="123"/>
      <c r="B46" s="73" t="s">
        <v>104</v>
      </c>
      <c r="C46" s="140" t="s">
        <v>105</v>
      </c>
      <c r="D46" s="115">
        <v>1</v>
      </c>
      <c r="E46" s="21" t="s">
        <v>42</v>
      </c>
      <c r="F46" s="22"/>
      <c r="G46" s="131">
        <f t="shared" ref="G46" si="5">+F46*D46</f>
        <v>0</v>
      </c>
    </row>
    <row r="47" spans="1:7" x14ac:dyDescent="0.25">
      <c r="A47" s="81"/>
      <c r="B47" s="23">
        <v>4.5</v>
      </c>
      <c r="C47" s="143" t="s">
        <v>106</v>
      </c>
      <c r="D47" s="94"/>
      <c r="E47" s="72"/>
      <c r="F47" s="151"/>
      <c r="G47" s="55"/>
    </row>
    <row r="48" spans="1:7" ht="14.25" thickBot="1" x14ac:dyDescent="0.3">
      <c r="A48" s="112"/>
      <c r="B48" s="113" t="s">
        <v>107</v>
      </c>
      <c r="C48" s="152" t="s">
        <v>108</v>
      </c>
      <c r="D48" s="153">
        <v>1</v>
      </c>
      <c r="E48" s="109" t="s">
        <v>9</v>
      </c>
      <c r="F48" s="154"/>
      <c r="G48" s="114">
        <f>+F48*D48</f>
        <v>0</v>
      </c>
    </row>
    <row r="49" spans="1:7" ht="14.25" thickBot="1" x14ac:dyDescent="0.3">
      <c r="A49" s="13">
        <v>5</v>
      </c>
      <c r="B49" s="48"/>
      <c r="C49" s="14" t="s">
        <v>45</v>
      </c>
      <c r="D49" s="89"/>
      <c r="E49" s="15"/>
      <c r="F49" s="16" t="e">
        <f>SUM(G50:G52)</f>
        <v>#REF!</v>
      </c>
      <c r="G49" s="17"/>
    </row>
    <row r="50" spans="1:7" x14ac:dyDescent="0.25">
      <c r="A50" s="44"/>
      <c r="B50" s="45">
        <v>5.0999999999999996</v>
      </c>
      <c r="C50" s="184" t="s">
        <v>46</v>
      </c>
      <c r="D50" s="98"/>
      <c r="E50" s="46"/>
      <c r="F50" s="51"/>
      <c r="G50" s="52"/>
    </row>
    <row r="51" spans="1:7" x14ac:dyDescent="0.25">
      <c r="A51" s="43"/>
      <c r="B51" s="18" t="s">
        <v>109</v>
      </c>
      <c r="C51" s="185" t="s">
        <v>48</v>
      </c>
      <c r="D51" s="93" t="e">
        <f>#REF!</f>
        <v>#REF!</v>
      </c>
      <c r="E51" s="19" t="s">
        <v>10</v>
      </c>
      <c r="F51" s="20"/>
      <c r="G51" s="36" t="e">
        <f>+F51*D51</f>
        <v>#REF!</v>
      </c>
    </row>
    <row r="52" spans="1:7" ht="14.25" thickBot="1" x14ac:dyDescent="0.3">
      <c r="A52" s="43"/>
      <c r="B52" s="18" t="s">
        <v>110</v>
      </c>
      <c r="C52" s="185" t="s">
        <v>50</v>
      </c>
      <c r="D52" s="93" t="e">
        <f>D51/50</f>
        <v>#REF!</v>
      </c>
      <c r="E52" s="19" t="s">
        <v>28</v>
      </c>
      <c r="F52" s="20"/>
      <c r="G52" s="36" t="e">
        <f>+F52*D52</f>
        <v>#REF!</v>
      </c>
    </row>
    <row r="53" spans="1:7" ht="14.25" thickBot="1" x14ac:dyDescent="0.3">
      <c r="A53" s="13">
        <v>13</v>
      </c>
      <c r="B53" s="106"/>
      <c r="C53" s="58" t="s">
        <v>114</v>
      </c>
      <c r="D53" s="89"/>
      <c r="E53" s="15"/>
      <c r="F53" s="16">
        <f>SUM(G54:G63)</f>
        <v>0</v>
      </c>
      <c r="G53" s="17"/>
    </row>
    <row r="54" spans="1:7" x14ac:dyDescent="0.25">
      <c r="A54" s="80"/>
      <c r="B54" s="163">
        <v>13.1</v>
      </c>
      <c r="C54" s="110" t="s">
        <v>115</v>
      </c>
      <c r="D54" s="164"/>
      <c r="E54" s="77"/>
      <c r="F54" s="78"/>
      <c r="G54" s="79"/>
    </row>
    <row r="55" spans="1:7" x14ac:dyDescent="0.25">
      <c r="A55" s="129"/>
      <c r="B55" s="73" t="s">
        <v>116</v>
      </c>
      <c r="C55" s="158" t="s">
        <v>117</v>
      </c>
      <c r="D55" s="159">
        <v>436</v>
      </c>
      <c r="E55" s="21" t="s">
        <v>12</v>
      </c>
      <c r="F55" s="122"/>
      <c r="G55" s="131">
        <f>+F55*D55</f>
        <v>0</v>
      </c>
    </row>
    <row r="56" spans="1:7" x14ac:dyDescent="0.25">
      <c r="A56" s="129"/>
      <c r="B56" s="73" t="s">
        <v>118</v>
      </c>
      <c r="C56" s="158" t="s">
        <v>119</v>
      </c>
      <c r="D56" s="159">
        <v>436</v>
      </c>
      <c r="E56" s="21" t="s">
        <v>12</v>
      </c>
      <c r="F56" s="122"/>
      <c r="G56" s="131">
        <f>+F56*D56</f>
        <v>0</v>
      </c>
    </row>
    <row r="57" spans="1:7" x14ac:dyDescent="0.25">
      <c r="A57" s="129"/>
      <c r="B57" s="73" t="s">
        <v>120</v>
      </c>
      <c r="C57" s="158" t="s">
        <v>121</v>
      </c>
      <c r="D57" s="159">
        <v>436</v>
      </c>
      <c r="E57" s="21" t="s">
        <v>12</v>
      </c>
      <c r="F57" s="122"/>
      <c r="G57" s="131">
        <f t="shared" ref="G57:G63" si="6">+F57*D57</f>
        <v>0</v>
      </c>
    </row>
    <row r="58" spans="1:7" x14ac:dyDescent="0.25">
      <c r="A58" s="81"/>
      <c r="B58" s="104">
        <v>13.2</v>
      </c>
      <c r="C58" s="64" t="s">
        <v>122</v>
      </c>
      <c r="D58" s="94">
        <v>15</v>
      </c>
      <c r="E58" s="72" t="s">
        <v>10</v>
      </c>
      <c r="F58" s="54"/>
      <c r="G58" s="55">
        <f t="shared" ref="G58" si="7">+F58*D58</f>
        <v>0</v>
      </c>
    </row>
    <row r="59" spans="1:7" x14ac:dyDescent="0.25">
      <c r="A59" s="81"/>
      <c r="B59" s="104">
        <v>13.3</v>
      </c>
      <c r="C59" s="64" t="s">
        <v>123</v>
      </c>
      <c r="D59" s="94">
        <v>118</v>
      </c>
      <c r="E59" s="72" t="s">
        <v>10</v>
      </c>
      <c r="F59" s="54"/>
      <c r="G59" s="55">
        <f t="shared" si="6"/>
        <v>0</v>
      </c>
    </row>
    <row r="60" spans="1:7" x14ac:dyDescent="0.25">
      <c r="A60" s="81"/>
      <c r="B60" s="104">
        <v>13.4</v>
      </c>
      <c r="C60" s="64" t="s">
        <v>124</v>
      </c>
      <c r="D60" s="94">
        <v>8</v>
      </c>
      <c r="E60" s="72" t="s">
        <v>28</v>
      </c>
      <c r="F60" s="54"/>
      <c r="G60" s="55">
        <f t="shared" si="6"/>
        <v>0</v>
      </c>
    </row>
    <row r="61" spans="1:7" x14ac:dyDescent="0.25">
      <c r="A61" s="81"/>
      <c r="B61" s="104">
        <v>13.5</v>
      </c>
      <c r="C61" s="108" t="s">
        <v>125</v>
      </c>
      <c r="D61" s="94">
        <v>1</v>
      </c>
      <c r="E61" s="72" t="s">
        <v>28</v>
      </c>
      <c r="F61" s="54"/>
      <c r="G61" s="55">
        <f t="shared" si="6"/>
        <v>0</v>
      </c>
    </row>
    <row r="62" spans="1:7" x14ac:dyDescent="0.25">
      <c r="A62" s="81"/>
      <c r="B62" s="104">
        <v>13.6</v>
      </c>
      <c r="C62" s="64" t="s">
        <v>126</v>
      </c>
      <c r="D62" s="94">
        <v>17</v>
      </c>
      <c r="E62" s="72" t="s">
        <v>10</v>
      </c>
      <c r="F62" s="54"/>
      <c r="G62" s="55">
        <f t="shared" si="6"/>
        <v>0</v>
      </c>
    </row>
    <row r="63" spans="1:7" x14ac:dyDescent="0.25">
      <c r="A63" s="81"/>
      <c r="B63" s="104">
        <v>13.7</v>
      </c>
      <c r="C63" s="64" t="s">
        <v>127</v>
      </c>
      <c r="D63" s="94">
        <v>1</v>
      </c>
      <c r="E63" s="72" t="s">
        <v>42</v>
      </c>
      <c r="F63" s="54"/>
      <c r="G63" s="55">
        <f t="shared" si="6"/>
        <v>0</v>
      </c>
    </row>
    <row r="64" spans="1:7" x14ac:dyDescent="0.25">
      <c r="D64" s="1"/>
      <c r="F64" s="1"/>
      <c r="G64" s="1"/>
    </row>
    <row r="65" spans="4:7" x14ac:dyDescent="0.25">
      <c r="D65" s="1"/>
      <c r="F65" s="1"/>
      <c r="G65" s="1"/>
    </row>
    <row r="66" spans="4:7" x14ac:dyDescent="0.25">
      <c r="D66" s="1"/>
      <c r="F66" s="1"/>
      <c r="G66" s="1"/>
    </row>
    <row r="67" spans="4:7" x14ac:dyDescent="0.25">
      <c r="D67" s="1"/>
      <c r="F67" s="1"/>
      <c r="G67" s="1"/>
    </row>
    <row r="68" spans="4:7" x14ac:dyDescent="0.25">
      <c r="D68" s="1"/>
      <c r="F68" s="1"/>
      <c r="G68" s="1"/>
    </row>
    <row r="69" spans="4:7" x14ac:dyDescent="0.25">
      <c r="D69" s="1"/>
      <c r="F69" s="1"/>
      <c r="G69" s="1"/>
    </row>
    <row r="70" spans="4:7" x14ac:dyDescent="0.25">
      <c r="D70" s="1"/>
      <c r="F70" s="1"/>
      <c r="G70" s="1"/>
    </row>
    <row r="71" spans="4:7" x14ac:dyDescent="0.25">
      <c r="D71" s="1"/>
      <c r="F71" s="1"/>
      <c r="G71" s="1"/>
    </row>
    <row r="72" spans="4:7" x14ac:dyDescent="0.25">
      <c r="D72" s="1"/>
      <c r="F72" s="1"/>
      <c r="G72" s="1"/>
    </row>
  </sheetData>
  <mergeCells count="4">
    <mergeCell ref="A1:G1"/>
    <mergeCell ref="A2:G2"/>
    <mergeCell ref="B3:C3"/>
    <mergeCell ref="D3:E3"/>
  </mergeCells>
  <phoneticPr fontId="3" type="noConversion"/>
  <pageMargins left="0.70866141732283472" right="0.31496062992125984" top="0.35433070866141736" bottom="0.35433070866141736" header="0" footer="0.19685039370078741"/>
  <pageSetup paperSize="8" fitToHeight="0" orientation="portrait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F517-FF5E-49C9-91F0-A8294199DC6D}">
  <sheetPr>
    <pageSetUpPr fitToPage="1"/>
  </sheetPr>
  <dimension ref="A1:H76"/>
  <sheetViews>
    <sheetView zoomScale="130" zoomScaleNormal="130" workbookViewId="0">
      <pane xSplit="7" ySplit="4" topLeftCell="H5" activePane="bottomRight" state="frozen"/>
      <selection pane="topRight" activeCell="G938" sqref="G938"/>
      <selection pane="bottomLeft" activeCell="G938" sqref="G938"/>
      <selection pane="bottomRight" activeCell="C73" sqref="C73"/>
    </sheetView>
  </sheetViews>
  <sheetFormatPr defaultColWidth="9.140625" defaultRowHeight="13.5" x14ac:dyDescent="0.25"/>
  <cols>
    <col min="1" max="1" width="3.140625" style="68" customWidth="1"/>
    <col min="2" max="2" width="8.7109375" style="68" customWidth="1"/>
    <col min="3" max="3" width="60.85546875" style="1" customWidth="1"/>
    <col min="4" max="4" width="10.28515625" style="96" customWidth="1"/>
    <col min="5" max="5" width="7.42578125" style="1" customWidth="1"/>
    <col min="6" max="6" width="12.7109375" style="69" bestFit="1" customWidth="1"/>
    <col min="7" max="7" width="12.7109375" style="67" customWidth="1"/>
    <col min="8" max="16384" width="9.140625" style="1"/>
  </cols>
  <sheetData>
    <row r="1" spans="1:8" ht="15.75" customHeight="1" thickBot="1" x14ac:dyDescent="0.3">
      <c r="A1" s="192" t="s">
        <v>0</v>
      </c>
      <c r="B1" s="193"/>
      <c r="C1" s="193"/>
      <c r="D1" s="193"/>
      <c r="E1" s="193"/>
      <c r="F1" s="193"/>
      <c r="G1" s="194"/>
    </row>
    <row r="2" spans="1:8" ht="15.75" customHeight="1" thickBot="1" x14ac:dyDescent="0.3">
      <c r="A2" s="189" t="s">
        <v>128</v>
      </c>
      <c r="B2" s="190"/>
      <c r="C2" s="190"/>
      <c r="D2" s="190"/>
      <c r="E2" s="190"/>
      <c r="F2" s="190"/>
      <c r="G2" s="191"/>
    </row>
    <row r="3" spans="1:8" ht="60.75" customHeight="1" thickBot="1" x14ac:dyDescent="0.3">
      <c r="A3" s="2"/>
      <c r="B3" s="187" t="s">
        <v>1</v>
      </c>
      <c r="C3" s="187"/>
      <c r="D3" s="188" t="s">
        <v>2</v>
      </c>
      <c r="E3" s="188"/>
      <c r="F3" s="3">
        <v>46204</v>
      </c>
      <c r="G3" s="4" t="s">
        <v>3</v>
      </c>
    </row>
    <row r="4" spans="1:8" ht="14.25" thickBot="1" x14ac:dyDescent="0.3">
      <c r="A4" s="6"/>
      <c r="B4" s="7"/>
      <c r="C4" s="8" t="s">
        <v>4</v>
      </c>
      <c r="D4" s="88" t="s">
        <v>5</v>
      </c>
      <c r="E4" s="10" t="s">
        <v>6</v>
      </c>
      <c r="F4" s="11" t="s">
        <v>7</v>
      </c>
      <c r="G4" s="12" t="s">
        <v>8</v>
      </c>
    </row>
    <row r="5" spans="1:8" ht="14.25" thickBot="1" x14ac:dyDescent="0.3">
      <c r="A5" s="13">
        <v>3</v>
      </c>
      <c r="B5" s="28"/>
      <c r="C5" s="14" t="s">
        <v>13</v>
      </c>
      <c r="D5" s="89"/>
      <c r="E5" s="15"/>
      <c r="F5" s="16">
        <v>0</v>
      </c>
      <c r="G5" s="17"/>
    </row>
    <row r="6" spans="1:8" x14ac:dyDescent="0.25">
      <c r="A6" s="166"/>
      <c r="B6" s="167">
        <v>3.1</v>
      </c>
      <c r="C6" s="168" t="s">
        <v>14</v>
      </c>
      <c r="D6" s="169"/>
      <c r="E6" s="170"/>
      <c r="F6" s="171"/>
      <c r="G6" s="172"/>
    </row>
    <row r="7" spans="1:8" x14ac:dyDescent="0.25">
      <c r="A7" s="123"/>
      <c r="B7" s="73" t="s">
        <v>15</v>
      </c>
      <c r="C7" s="130" t="s">
        <v>16</v>
      </c>
      <c r="D7" s="133">
        <v>465.798</v>
      </c>
      <c r="E7" s="134" t="s">
        <v>10</v>
      </c>
      <c r="F7" s="122"/>
      <c r="G7" s="131">
        <v>0</v>
      </c>
      <c r="H7" s="5"/>
    </row>
    <row r="8" spans="1:8" x14ac:dyDescent="0.25">
      <c r="A8" s="123"/>
      <c r="B8" s="73" t="s">
        <v>17</v>
      </c>
      <c r="C8" s="130" t="s">
        <v>53</v>
      </c>
      <c r="D8" s="133">
        <v>177.61200000000002</v>
      </c>
      <c r="E8" s="134" t="s">
        <v>10</v>
      </c>
      <c r="F8" s="122"/>
      <c r="G8" s="131">
        <v>0</v>
      </c>
    </row>
    <row r="9" spans="1:8" x14ac:dyDescent="0.25">
      <c r="A9" s="123"/>
      <c r="B9" s="73" t="s">
        <v>19</v>
      </c>
      <c r="C9" s="130" t="s">
        <v>54</v>
      </c>
      <c r="D9" s="133">
        <v>44.728999999999999</v>
      </c>
      <c r="E9" s="134" t="s">
        <v>10</v>
      </c>
      <c r="F9" s="122"/>
      <c r="G9" s="131">
        <v>0</v>
      </c>
    </row>
    <row r="10" spans="1:8" x14ac:dyDescent="0.25">
      <c r="A10" s="123"/>
      <c r="B10" s="73" t="s">
        <v>21</v>
      </c>
      <c r="C10" s="130" t="s">
        <v>55</v>
      </c>
      <c r="D10" s="133">
        <v>203.959</v>
      </c>
      <c r="E10" s="134" t="s">
        <v>10</v>
      </c>
      <c r="F10" s="122"/>
      <c r="G10" s="131">
        <v>0</v>
      </c>
    </row>
    <row r="11" spans="1:8" x14ac:dyDescent="0.25">
      <c r="A11" s="123"/>
      <c r="B11" s="73" t="s">
        <v>56</v>
      </c>
      <c r="C11" s="130" t="s">
        <v>20</v>
      </c>
      <c r="D11" s="133">
        <v>252.535</v>
      </c>
      <c r="E11" s="134" t="s">
        <v>10</v>
      </c>
      <c r="F11" s="122"/>
      <c r="G11" s="131">
        <v>0</v>
      </c>
    </row>
    <row r="12" spans="1:8" x14ac:dyDescent="0.25">
      <c r="A12" s="142"/>
      <c r="B12" s="23">
        <v>3.2</v>
      </c>
      <c r="C12" s="71" t="s">
        <v>129</v>
      </c>
      <c r="D12" s="145"/>
      <c r="E12" s="116"/>
      <c r="F12" s="25"/>
      <c r="G12" s="24"/>
    </row>
    <row r="13" spans="1:8" x14ac:dyDescent="0.25">
      <c r="A13" s="123"/>
      <c r="B13" s="73" t="s">
        <v>26</v>
      </c>
      <c r="C13" s="130" t="s">
        <v>27</v>
      </c>
      <c r="D13" s="105">
        <v>6</v>
      </c>
      <c r="E13" s="134" t="s">
        <v>28</v>
      </c>
      <c r="F13" s="122"/>
      <c r="G13" s="131">
        <v>0</v>
      </c>
    </row>
    <row r="14" spans="1:8" x14ac:dyDescent="0.25">
      <c r="A14" s="123"/>
      <c r="B14" s="73" t="s">
        <v>29</v>
      </c>
      <c r="C14" s="130" t="s">
        <v>30</v>
      </c>
      <c r="D14" s="105">
        <v>30</v>
      </c>
      <c r="E14" s="134" t="s">
        <v>28</v>
      </c>
      <c r="F14" s="122"/>
      <c r="G14" s="131">
        <v>0</v>
      </c>
      <c r="H14" s="5"/>
    </row>
    <row r="15" spans="1:8" x14ac:dyDescent="0.25">
      <c r="A15" s="142"/>
      <c r="B15" s="23">
        <v>3.3</v>
      </c>
      <c r="C15" s="71" t="s">
        <v>62</v>
      </c>
      <c r="D15" s="145"/>
      <c r="E15" s="117"/>
      <c r="F15" s="117"/>
      <c r="G15" s="173"/>
    </row>
    <row r="16" spans="1:8" ht="27" x14ac:dyDescent="0.25">
      <c r="A16" s="123"/>
      <c r="B16" s="73" t="s">
        <v>36</v>
      </c>
      <c r="C16" s="130" t="s">
        <v>130</v>
      </c>
      <c r="D16" s="115">
        <v>4</v>
      </c>
      <c r="E16" s="134" t="s">
        <v>4</v>
      </c>
      <c r="F16" s="122"/>
      <c r="G16" s="131">
        <v>0</v>
      </c>
    </row>
    <row r="17" spans="1:7" ht="27" x14ac:dyDescent="0.25">
      <c r="A17" s="123"/>
      <c r="B17" s="73" t="s">
        <v>38</v>
      </c>
      <c r="C17" s="130" t="s">
        <v>131</v>
      </c>
      <c r="D17" s="115">
        <v>2</v>
      </c>
      <c r="E17" s="134" t="s">
        <v>4</v>
      </c>
      <c r="F17" s="122"/>
      <c r="G17" s="131">
        <v>0</v>
      </c>
    </row>
    <row r="18" spans="1:7" ht="27" x14ac:dyDescent="0.25">
      <c r="A18" s="123"/>
      <c r="B18" s="73" t="s">
        <v>65</v>
      </c>
      <c r="C18" s="130" t="s">
        <v>132</v>
      </c>
      <c r="D18" s="115">
        <v>1</v>
      </c>
      <c r="E18" s="134" t="s">
        <v>4</v>
      </c>
      <c r="F18" s="122"/>
      <c r="G18" s="131">
        <v>0</v>
      </c>
    </row>
    <row r="19" spans="1:7" x14ac:dyDescent="0.25">
      <c r="A19" s="70"/>
      <c r="B19" s="23">
        <v>3.4</v>
      </c>
      <c r="C19" s="150" t="s">
        <v>35</v>
      </c>
      <c r="D19" s="145"/>
      <c r="E19" s="116"/>
      <c r="F19" s="117"/>
      <c r="G19" s="173"/>
    </row>
    <row r="20" spans="1:7" x14ac:dyDescent="0.25">
      <c r="A20" s="123"/>
      <c r="B20" s="73" t="s">
        <v>75</v>
      </c>
      <c r="C20" s="140" t="s">
        <v>133</v>
      </c>
      <c r="D20" s="115">
        <v>1</v>
      </c>
      <c r="E20" s="134" t="s">
        <v>28</v>
      </c>
      <c r="F20" s="174"/>
      <c r="G20" s="131">
        <v>0</v>
      </c>
    </row>
    <row r="21" spans="1:7" x14ac:dyDescent="0.25">
      <c r="A21" s="123"/>
      <c r="B21" s="73" t="s">
        <v>77</v>
      </c>
      <c r="C21" s="140" t="s">
        <v>134</v>
      </c>
      <c r="D21" s="115">
        <v>1</v>
      </c>
      <c r="E21" s="134" t="s">
        <v>28</v>
      </c>
      <c r="F21" s="66"/>
      <c r="G21" s="131">
        <v>0</v>
      </c>
    </row>
    <row r="22" spans="1:7" x14ac:dyDescent="0.25">
      <c r="A22" s="123"/>
      <c r="B22" s="73" t="s">
        <v>79</v>
      </c>
      <c r="C22" s="140" t="s">
        <v>135</v>
      </c>
      <c r="D22" s="115">
        <v>1</v>
      </c>
      <c r="E22" s="134" t="s">
        <v>28</v>
      </c>
      <c r="F22" s="66"/>
      <c r="G22" s="131">
        <v>0</v>
      </c>
    </row>
    <row r="23" spans="1:7" x14ac:dyDescent="0.25">
      <c r="A23" s="70"/>
      <c r="B23" s="23">
        <v>3.5</v>
      </c>
      <c r="C23" s="150" t="s">
        <v>136</v>
      </c>
      <c r="D23" s="102">
        <v>2</v>
      </c>
      <c r="E23" s="87" t="s">
        <v>42</v>
      </c>
      <c r="F23" s="117"/>
      <c r="G23" s="55">
        <v>0</v>
      </c>
    </row>
    <row r="24" spans="1:7" ht="14.25" thickBot="1" x14ac:dyDescent="0.3">
      <c r="A24" s="175"/>
      <c r="B24" s="162">
        <v>3.5</v>
      </c>
      <c r="C24" s="176" t="s">
        <v>137</v>
      </c>
      <c r="D24" s="161">
        <v>3</v>
      </c>
      <c r="E24" s="177" t="s">
        <v>28</v>
      </c>
      <c r="F24" s="165"/>
      <c r="G24" s="55">
        <v>0</v>
      </c>
    </row>
    <row r="25" spans="1:7" ht="14.25" thickBot="1" x14ac:dyDescent="0.3">
      <c r="A25" s="13">
        <v>4</v>
      </c>
      <c r="B25" s="28"/>
      <c r="C25" s="14" t="s">
        <v>82</v>
      </c>
      <c r="D25" s="89"/>
      <c r="E25" s="15"/>
      <c r="F25" s="16">
        <v>0</v>
      </c>
      <c r="G25" s="17"/>
    </row>
    <row r="26" spans="1:7" x14ac:dyDescent="0.25">
      <c r="A26" s="178"/>
      <c r="B26" s="75">
        <v>4.0999999999999996</v>
      </c>
      <c r="C26" s="76" t="s">
        <v>83</v>
      </c>
      <c r="D26" s="155"/>
      <c r="E26" s="156"/>
      <c r="F26" s="179"/>
      <c r="G26" s="157"/>
    </row>
    <row r="27" spans="1:7" x14ac:dyDescent="0.25">
      <c r="A27" s="123"/>
      <c r="B27" s="73" t="s">
        <v>47</v>
      </c>
      <c r="C27" s="130" t="s">
        <v>84</v>
      </c>
      <c r="D27" s="133">
        <v>45.326000000000001</v>
      </c>
      <c r="E27" s="21" t="s">
        <v>10</v>
      </c>
      <c r="F27" s="22"/>
      <c r="G27" s="131">
        <v>0</v>
      </c>
    </row>
    <row r="28" spans="1:7" x14ac:dyDescent="0.25">
      <c r="A28" s="123"/>
      <c r="B28" s="73" t="s">
        <v>49</v>
      </c>
      <c r="C28" s="130" t="s">
        <v>85</v>
      </c>
      <c r="D28" s="133">
        <v>40.483999999999995</v>
      </c>
      <c r="E28" s="21" t="s">
        <v>10</v>
      </c>
      <c r="F28" s="22"/>
      <c r="G28" s="131">
        <v>0</v>
      </c>
    </row>
    <row r="29" spans="1:7" x14ac:dyDescent="0.25">
      <c r="A29" s="123"/>
      <c r="B29" s="73" t="s">
        <v>86</v>
      </c>
      <c r="C29" s="130" t="s">
        <v>87</v>
      </c>
      <c r="D29" s="133">
        <v>325.36500000000001</v>
      </c>
      <c r="E29" s="21" t="s">
        <v>10</v>
      </c>
      <c r="F29" s="22"/>
      <c r="G29" s="131">
        <v>0</v>
      </c>
    </row>
    <row r="30" spans="1:7" x14ac:dyDescent="0.25">
      <c r="A30" s="123"/>
      <c r="B30" s="73" t="s">
        <v>88</v>
      </c>
      <c r="C30" s="141" t="s">
        <v>89</v>
      </c>
      <c r="D30" s="133">
        <v>55.158999999999999</v>
      </c>
      <c r="E30" s="21" t="s">
        <v>10</v>
      </c>
      <c r="F30" s="22"/>
      <c r="G30" s="131">
        <v>0</v>
      </c>
    </row>
    <row r="31" spans="1:7" x14ac:dyDescent="0.25">
      <c r="A31" s="142"/>
      <c r="B31" s="23"/>
      <c r="C31" s="143" t="s">
        <v>90</v>
      </c>
      <c r="D31" s="102"/>
      <c r="E31" s="103"/>
      <c r="F31" s="144"/>
      <c r="G31" s="24"/>
    </row>
    <row r="32" spans="1:7" x14ac:dyDescent="0.25">
      <c r="A32" s="123"/>
      <c r="B32" s="73" t="s">
        <v>91</v>
      </c>
      <c r="C32" s="130" t="s">
        <v>92</v>
      </c>
      <c r="D32" s="115">
        <v>25</v>
      </c>
      <c r="E32" s="21" t="s">
        <v>28</v>
      </c>
      <c r="F32" s="22"/>
      <c r="G32" s="131">
        <v>0</v>
      </c>
    </row>
    <row r="33" spans="1:7" x14ac:dyDescent="0.25">
      <c r="A33" s="123"/>
      <c r="B33" s="73" t="s">
        <v>93</v>
      </c>
      <c r="C33" s="130" t="s">
        <v>94</v>
      </c>
      <c r="D33" s="115">
        <v>39</v>
      </c>
      <c r="E33" s="21" t="s">
        <v>28</v>
      </c>
      <c r="F33" s="22"/>
      <c r="G33" s="131">
        <v>0</v>
      </c>
    </row>
    <row r="34" spans="1:7" ht="27" x14ac:dyDescent="0.25">
      <c r="A34" s="123"/>
      <c r="B34" s="73" t="s">
        <v>95</v>
      </c>
      <c r="C34" s="130" t="s">
        <v>96</v>
      </c>
      <c r="D34" s="115">
        <v>234</v>
      </c>
      <c r="E34" s="21" t="s">
        <v>10</v>
      </c>
      <c r="F34" s="22"/>
      <c r="G34" s="131">
        <v>0</v>
      </c>
    </row>
    <row r="35" spans="1:7" x14ac:dyDescent="0.25">
      <c r="A35" s="81"/>
      <c r="B35" s="23">
        <v>4.3</v>
      </c>
      <c r="C35" s="143" t="s">
        <v>97</v>
      </c>
      <c r="D35" s="145"/>
      <c r="E35" s="146"/>
      <c r="F35" s="25"/>
      <c r="G35" s="24"/>
    </row>
    <row r="36" spans="1:7" x14ac:dyDescent="0.25">
      <c r="A36" s="123"/>
      <c r="B36" s="73" t="s">
        <v>98</v>
      </c>
      <c r="C36" s="147" t="s">
        <v>99</v>
      </c>
      <c r="D36" s="148">
        <v>7</v>
      </c>
      <c r="E36" s="21" t="s">
        <v>28</v>
      </c>
      <c r="F36" s="149"/>
      <c r="G36" s="131">
        <v>0</v>
      </c>
    </row>
    <row r="37" spans="1:7" x14ac:dyDescent="0.25">
      <c r="A37" s="123"/>
      <c r="B37" s="73" t="s">
        <v>100</v>
      </c>
      <c r="C37" s="147" t="s">
        <v>101</v>
      </c>
      <c r="D37" s="148">
        <v>12</v>
      </c>
      <c r="E37" s="21" t="s">
        <v>28</v>
      </c>
      <c r="F37" s="149"/>
      <c r="G37" s="131">
        <v>0</v>
      </c>
    </row>
    <row r="38" spans="1:7" x14ac:dyDescent="0.25">
      <c r="A38" s="123"/>
      <c r="B38" s="73" t="s">
        <v>102</v>
      </c>
      <c r="C38" s="130" t="s">
        <v>103</v>
      </c>
      <c r="D38" s="148">
        <v>6</v>
      </c>
      <c r="E38" s="21" t="s">
        <v>28</v>
      </c>
      <c r="F38" s="22"/>
      <c r="G38" s="131">
        <v>0</v>
      </c>
    </row>
    <row r="39" spans="1:7" x14ac:dyDescent="0.25">
      <c r="A39" s="81"/>
      <c r="B39" s="23">
        <v>4.4000000000000004</v>
      </c>
      <c r="C39" s="150" t="s">
        <v>35</v>
      </c>
      <c r="D39" s="145"/>
      <c r="E39" s="146"/>
      <c r="F39" s="25"/>
      <c r="G39" s="24"/>
    </row>
    <row r="40" spans="1:7" x14ac:dyDescent="0.25">
      <c r="A40" s="123"/>
      <c r="B40" s="73" t="s">
        <v>104</v>
      </c>
      <c r="C40" s="140" t="s">
        <v>138</v>
      </c>
      <c r="D40" s="115">
        <v>2</v>
      </c>
      <c r="E40" s="21" t="s">
        <v>42</v>
      </c>
      <c r="F40" s="22"/>
      <c r="G40" s="131">
        <v>0</v>
      </c>
    </row>
    <row r="41" spans="1:7" x14ac:dyDescent="0.25">
      <c r="A41" s="123"/>
      <c r="B41" s="73" t="s">
        <v>104</v>
      </c>
      <c r="C41" s="140" t="s">
        <v>139</v>
      </c>
      <c r="D41" s="115">
        <v>1</v>
      </c>
      <c r="E41" s="21" t="s">
        <v>42</v>
      </c>
      <c r="F41" s="22"/>
      <c r="G41" s="131">
        <v>0</v>
      </c>
    </row>
    <row r="42" spans="1:7" x14ac:dyDescent="0.25">
      <c r="A42" s="81"/>
      <c r="B42" s="23">
        <v>4.5</v>
      </c>
      <c r="C42" s="143" t="s">
        <v>106</v>
      </c>
      <c r="D42" s="94"/>
      <c r="E42" s="72"/>
      <c r="F42" s="151"/>
      <c r="G42" s="55"/>
    </row>
    <row r="43" spans="1:7" ht="14.25" thickBot="1" x14ac:dyDescent="0.3">
      <c r="A43" s="112"/>
      <c r="B43" s="113" t="s">
        <v>107</v>
      </c>
      <c r="C43" s="152" t="s">
        <v>108</v>
      </c>
      <c r="D43" s="153">
        <v>3</v>
      </c>
      <c r="E43" s="109" t="s">
        <v>9</v>
      </c>
      <c r="F43" s="154"/>
      <c r="G43" s="114">
        <v>0</v>
      </c>
    </row>
    <row r="44" spans="1:7" ht="14.25" thickBot="1" x14ac:dyDescent="0.3">
      <c r="A44" s="13">
        <v>5</v>
      </c>
      <c r="B44" s="48"/>
      <c r="C44" s="14" t="s">
        <v>45</v>
      </c>
      <c r="D44" s="89"/>
      <c r="E44" s="15"/>
      <c r="F44" s="16">
        <v>0</v>
      </c>
      <c r="G44" s="17"/>
    </row>
    <row r="45" spans="1:7" x14ac:dyDescent="0.25">
      <c r="A45" s="178"/>
      <c r="B45" s="75">
        <v>5.0999999999999996</v>
      </c>
      <c r="C45" s="76" t="s">
        <v>46</v>
      </c>
      <c r="D45" s="180"/>
      <c r="E45" s="77"/>
      <c r="F45" s="118"/>
      <c r="G45" s="79"/>
    </row>
    <row r="46" spans="1:7" x14ac:dyDescent="0.25">
      <c r="A46" s="123"/>
      <c r="B46" s="73" t="s">
        <v>109</v>
      </c>
      <c r="C46" s="130" t="s">
        <v>48</v>
      </c>
      <c r="D46" s="115">
        <v>2346</v>
      </c>
      <c r="E46" s="21" t="s">
        <v>10</v>
      </c>
      <c r="F46" s="22"/>
      <c r="G46" s="131">
        <v>0</v>
      </c>
    </row>
    <row r="47" spans="1:7" ht="14.25" thickBot="1" x14ac:dyDescent="0.3">
      <c r="A47" s="181"/>
      <c r="B47" s="113" t="s">
        <v>110</v>
      </c>
      <c r="C47" s="152" t="s">
        <v>50</v>
      </c>
      <c r="D47" s="182">
        <v>46.92</v>
      </c>
      <c r="E47" s="109" t="s">
        <v>28</v>
      </c>
      <c r="F47" s="160"/>
      <c r="G47" s="114">
        <v>0</v>
      </c>
    </row>
    <row r="48" spans="1:7" ht="14.25" thickBot="1" x14ac:dyDescent="0.3">
      <c r="A48" s="13">
        <v>12</v>
      </c>
      <c r="B48" s="106"/>
      <c r="C48" s="58" t="s">
        <v>140</v>
      </c>
      <c r="D48" s="89"/>
      <c r="E48" s="15"/>
      <c r="F48" s="16">
        <v>0</v>
      </c>
      <c r="G48" s="17"/>
    </row>
    <row r="49" spans="1:7" x14ac:dyDescent="0.25">
      <c r="A49" s="59"/>
      <c r="B49" s="49">
        <v>12.1</v>
      </c>
      <c r="C49" s="107" t="s">
        <v>115</v>
      </c>
      <c r="D49" s="100"/>
      <c r="E49" s="46"/>
      <c r="F49" s="53"/>
      <c r="G49" s="52"/>
    </row>
    <row r="50" spans="1:7" x14ac:dyDescent="0.25">
      <c r="A50" s="61"/>
      <c r="B50" s="18" t="s">
        <v>111</v>
      </c>
      <c r="C50" s="62" t="s">
        <v>117</v>
      </c>
      <c r="D50" s="91">
        <v>390</v>
      </c>
      <c r="E50" s="19" t="s">
        <v>12</v>
      </c>
      <c r="F50" s="35"/>
      <c r="G50" s="36">
        <v>0</v>
      </c>
    </row>
    <row r="51" spans="1:7" x14ac:dyDescent="0.25">
      <c r="A51" s="61"/>
      <c r="B51" s="18" t="s">
        <v>112</v>
      </c>
      <c r="C51" s="62" t="s">
        <v>119</v>
      </c>
      <c r="D51" s="91">
        <v>390</v>
      </c>
      <c r="E51" s="19" t="s">
        <v>12</v>
      </c>
      <c r="F51" s="35"/>
      <c r="G51" s="36">
        <v>0</v>
      </c>
    </row>
    <row r="52" spans="1:7" x14ac:dyDescent="0.25">
      <c r="A52" s="65"/>
      <c r="B52" s="18" t="s">
        <v>113</v>
      </c>
      <c r="C52" s="101" t="s">
        <v>121</v>
      </c>
      <c r="D52" s="92">
        <v>390</v>
      </c>
      <c r="E52" s="26" t="s">
        <v>12</v>
      </c>
      <c r="F52" s="97"/>
      <c r="G52" s="56">
        <v>0</v>
      </c>
    </row>
    <row r="53" spans="1:7" x14ac:dyDescent="0.25">
      <c r="A53" s="81"/>
      <c r="B53" s="104">
        <v>12.2</v>
      </c>
      <c r="C53" s="64" t="s">
        <v>122</v>
      </c>
      <c r="D53" s="94">
        <v>6</v>
      </c>
      <c r="E53" s="72" t="s">
        <v>10</v>
      </c>
      <c r="F53" s="54"/>
      <c r="G53" s="55">
        <v>0</v>
      </c>
    </row>
    <row r="54" spans="1:7" x14ac:dyDescent="0.25">
      <c r="A54" s="81"/>
      <c r="B54" s="104">
        <v>12.299999999999999</v>
      </c>
      <c r="C54" s="64" t="s">
        <v>123</v>
      </c>
      <c r="D54" s="94">
        <v>54</v>
      </c>
      <c r="E54" s="72" t="s">
        <v>10</v>
      </c>
      <c r="F54" s="54"/>
      <c r="G54" s="55">
        <v>0</v>
      </c>
    </row>
    <row r="55" spans="1:7" x14ac:dyDescent="0.25">
      <c r="A55" s="81"/>
      <c r="B55" s="104">
        <v>12.399999999999999</v>
      </c>
      <c r="C55" s="64" t="s">
        <v>124</v>
      </c>
      <c r="D55" s="94">
        <v>4</v>
      </c>
      <c r="E55" s="72" t="s">
        <v>28</v>
      </c>
      <c r="F55" s="54"/>
      <c r="G55" s="55">
        <v>0</v>
      </c>
    </row>
    <row r="56" spans="1:7" x14ac:dyDescent="0.25">
      <c r="A56" s="81"/>
      <c r="B56" s="104">
        <v>12.499999999999998</v>
      </c>
      <c r="C56" s="108" t="s">
        <v>125</v>
      </c>
      <c r="D56" s="94">
        <v>1</v>
      </c>
      <c r="E56" s="72" t="s">
        <v>28</v>
      </c>
      <c r="F56" s="54"/>
      <c r="G56" s="55">
        <v>0</v>
      </c>
    </row>
    <row r="57" spans="1:7" x14ac:dyDescent="0.25">
      <c r="A57" s="81"/>
      <c r="B57" s="104">
        <v>12.599999999999998</v>
      </c>
      <c r="C57" s="63" t="s">
        <v>126</v>
      </c>
      <c r="D57" s="94">
        <v>10</v>
      </c>
      <c r="E57" s="72" t="s">
        <v>10</v>
      </c>
      <c r="F57" s="54"/>
      <c r="G57" s="55">
        <v>0</v>
      </c>
    </row>
    <row r="58" spans="1:7" ht="14.25" thickBot="1" x14ac:dyDescent="0.3">
      <c r="A58" s="81"/>
      <c r="B58" s="104">
        <v>12.699999999999998</v>
      </c>
      <c r="C58" s="64" t="s">
        <v>127</v>
      </c>
      <c r="D58" s="94">
        <v>1</v>
      </c>
      <c r="E58" s="72" t="s">
        <v>10</v>
      </c>
      <c r="F58" s="54"/>
      <c r="G58" s="55">
        <v>0</v>
      </c>
    </row>
    <row r="59" spans="1:7" ht="14.25" thickBot="1" x14ac:dyDescent="0.3">
      <c r="A59" s="13">
        <v>13</v>
      </c>
      <c r="B59" s="106"/>
      <c r="C59" s="58" t="s">
        <v>141</v>
      </c>
      <c r="D59" s="89"/>
      <c r="E59" s="15"/>
      <c r="F59" s="16">
        <v>0</v>
      </c>
      <c r="G59" s="17"/>
    </row>
    <row r="60" spans="1:7" x14ac:dyDescent="0.25">
      <c r="A60" s="80"/>
      <c r="B60" s="163">
        <v>13.1</v>
      </c>
      <c r="C60" s="110" t="s">
        <v>115</v>
      </c>
      <c r="D60" s="164"/>
      <c r="E60" s="77"/>
      <c r="F60" s="78"/>
      <c r="G60" s="79"/>
    </row>
    <row r="61" spans="1:7" x14ac:dyDescent="0.25">
      <c r="A61" s="129"/>
      <c r="B61" s="73" t="s">
        <v>116</v>
      </c>
      <c r="C61" s="158" t="s">
        <v>117</v>
      </c>
      <c r="D61" s="159">
        <v>298</v>
      </c>
      <c r="E61" s="21" t="s">
        <v>12</v>
      </c>
      <c r="F61" s="122"/>
      <c r="G61" s="131">
        <v>0</v>
      </c>
    </row>
    <row r="62" spans="1:7" x14ac:dyDescent="0.25">
      <c r="A62" s="129"/>
      <c r="B62" s="73" t="s">
        <v>118</v>
      </c>
      <c r="C62" s="158" t="s">
        <v>119</v>
      </c>
      <c r="D62" s="159">
        <v>298</v>
      </c>
      <c r="E62" s="21" t="s">
        <v>12</v>
      </c>
      <c r="F62" s="122"/>
      <c r="G62" s="131">
        <v>0</v>
      </c>
    </row>
    <row r="63" spans="1:7" x14ac:dyDescent="0.25">
      <c r="A63" s="129"/>
      <c r="B63" s="73" t="s">
        <v>120</v>
      </c>
      <c r="C63" s="158" t="s">
        <v>121</v>
      </c>
      <c r="D63" s="159">
        <v>298</v>
      </c>
      <c r="E63" s="21" t="s">
        <v>12</v>
      </c>
      <c r="F63" s="122"/>
      <c r="G63" s="131">
        <v>0</v>
      </c>
    </row>
    <row r="64" spans="1:7" x14ac:dyDescent="0.25">
      <c r="A64" s="81"/>
      <c r="B64" s="104">
        <v>13.2</v>
      </c>
      <c r="C64" s="64" t="s">
        <v>122</v>
      </c>
      <c r="D64" s="94">
        <v>9</v>
      </c>
      <c r="E64" s="72" t="s">
        <v>10</v>
      </c>
      <c r="F64" s="54"/>
      <c r="G64" s="55">
        <v>0</v>
      </c>
    </row>
    <row r="65" spans="1:7" x14ac:dyDescent="0.25">
      <c r="A65" s="81"/>
      <c r="B65" s="104">
        <v>13.3</v>
      </c>
      <c r="C65" s="64" t="s">
        <v>123</v>
      </c>
      <c r="D65" s="94">
        <v>52</v>
      </c>
      <c r="E65" s="72" t="s">
        <v>10</v>
      </c>
      <c r="F65" s="54"/>
      <c r="G65" s="55">
        <v>0</v>
      </c>
    </row>
    <row r="66" spans="1:7" x14ac:dyDescent="0.25">
      <c r="A66" s="81"/>
      <c r="B66" s="104">
        <v>13.4</v>
      </c>
      <c r="C66" s="64" t="s">
        <v>124</v>
      </c>
      <c r="D66" s="94">
        <v>6</v>
      </c>
      <c r="E66" s="72" t="s">
        <v>28</v>
      </c>
      <c r="F66" s="54"/>
      <c r="G66" s="55">
        <v>0</v>
      </c>
    </row>
    <row r="67" spans="1:7" x14ac:dyDescent="0.25">
      <c r="A67" s="81"/>
      <c r="B67" s="104">
        <v>13.5</v>
      </c>
      <c r="C67" s="108" t="s">
        <v>125</v>
      </c>
      <c r="D67" s="94">
        <v>1</v>
      </c>
      <c r="E67" s="72" t="s">
        <v>28</v>
      </c>
      <c r="F67" s="54"/>
      <c r="G67" s="55">
        <v>0</v>
      </c>
    </row>
    <row r="68" spans="1:7" x14ac:dyDescent="0.25">
      <c r="A68" s="81"/>
      <c r="B68" s="104">
        <v>13.6</v>
      </c>
      <c r="C68" s="64" t="s">
        <v>126</v>
      </c>
      <c r="D68" s="94">
        <v>10</v>
      </c>
      <c r="E68" s="72" t="s">
        <v>10</v>
      </c>
      <c r="F68" s="54"/>
      <c r="G68" s="55">
        <v>0</v>
      </c>
    </row>
    <row r="69" spans="1:7" x14ac:dyDescent="0.25">
      <c r="A69" s="81"/>
      <c r="B69" s="104">
        <v>13.7</v>
      </c>
      <c r="C69" s="64" t="s">
        <v>127</v>
      </c>
      <c r="D69" s="94">
        <v>1</v>
      </c>
      <c r="E69" s="72" t="s">
        <v>10</v>
      </c>
      <c r="F69" s="54"/>
      <c r="G69" s="55">
        <v>0</v>
      </c>
    </row>
    <row r="71" spans="1:7" x14ac:dyDescent="0.25">
      <c r="D71" s="1"/>
      <c r="F71" s="1"/>
      <c r="G71" s="1"/>
    </row>
    <row r="72" spans="1:7" x14ac:dyDescent="0.25">
      <c r="D72" s="1"/>
      <c r="F72" s="1"/>
      <c r="G72" s="1"/>
    </row>
    <row r="73" spans="1:7" x14ac:dyDescent="0.25">
      <c r="D73" s="1"/>
      <c r="F73" s="1"/>
      <c r="G73" s="1"/>
    </row>
    <row r="74" spans="1:7" x14ac:dyDescent="0.25">
      <c r="D74" s="1"/>
      <c r="F74" s="1"/>
      <c r="G74" s="1"/>
    </row>
    <row r="75" spans="1:7" x14ac:dyDescent="0.25">
      <c r="D75" s="1"/>
      <c r="F75" s="1"/>
      <c r="G75" s="1"/>
    </row>
    <row r="76" spans="1:7" x14ac:dyDescent="0.25">
      <c r="D76" s="1"/>
      <c r="F76" s="1"/>
      <c r="G76" s="1"/>
    </row>
  </sheetData>
  <mergeCells count="4">
    <mergeCell ref="B3:C3"/>
    <mergeCell ref="D3:E3"/>
    <mergeCell ref="A2:G2"/>
    <mergeCell ref="A1:G1"/>
  </mergeCells>
  <phoneticPr fontId="3" type="noConversion"/>
  <pageMargins left="0.70866141732283472" right="0.31496062992125984" top="0.35433070866141736" bottom="0.35433070866141736" header="0" footer="0.19685039370078741"/>
  <pageSetup paperSize="8" fitToHeight="0" orientation="portrait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7206-0254-453D-97F1-025D022D128E}">
  <dimension ref="A1:AJ46"/>
  <sheetViews>
    <sheetView workbookViewId="0">
      <selection activeCell="G43" sqref="G43"/>
    </sheetView>
  </sheetViews>
  <sheetFormatPr defaultRowHeight="15" x14ac:dyDescent="0.25"/>
  <cols>
    <col min="1" max="1" width="14.28515625" bestFit="1" customWidth="1"/>
  </cols>
  <sheetData>
    <row r="1" spans="1:36" x14ac:dyDescent="0.25">
      <c r="A1" t="s">
        <v>142</v>
      </c>
      <c r="AJ1" t="s">
        <v>8</v>
      </c>
    </row>
    <row r="2" spans="1:36" x14ac:dyDescent="0.25">
      <c r="A2" t="s">
        <v>143</v>
      </c>
    </row>
    <row r="3" spans="1:36" x14ac:dyDescent="0.25">
      <c r="A3">
        <v>900</v>
      </c>
      <c r="B3">
        <v>13.554</v>
      </c>
      <c r="C3">
        <v>13.554</v>
      </c>
      <c r="D3">
        <v>40.08</v>
      </c>
      <c r="E3">
        <v>40.08</v>
      </c>
      <c r="F3">
        <v>5.9370000000000003</v>
      </c>
      <c r="G3">
        <v>4.6900000000000004</v>
      </c>
      <c r="AJ3">
        <f>SUM(B3:AI3)</f>
        <v>117.895</v>
      </c>
    </row>
    <row r="4" spans="1:36" x14ac:dyDescent="0.25">
      <c r="A4">
        <f>A3-75</f>
        <v>825</v>
      </c>
      <c r="B4">
        <v>37.573999999999998</v>
      </c>
      <c r="AJ4">
        <f t="shared" ref="AJ4:AJ46" si="0">SUM(B4:AI4)</f>
        <v>37.573999999999998</v>
      </c>
    </row>
    <row r="5" spans="1:36" x14ac:dyDescent="0.25">
      <c r="A5">
        <f t="shared" ref="A5:A10" si="1">A4-75</f>
        <v>750</v>
      </c>
      <c r="B5">
        <v>9.1829999999999998</v>
      </c>
      <c r="C5">
        <v>10.71</v>
      </c>
      <c r="AJ5">
        <f t="shared" si="0"/>
        <v>19.893000000000001</v>
      </c>
    </row>
    <row r="6" spans="1:36" x14ac:dyDescent="0.25">
      <c r="A6">
        <f t="shared" si="1"/>
        <v>675</v>
      </c>
      <c r="B6">
        <v>34.387999999999998</v>
      </c>
      <c r="AJ6">
        <f t="shared" si="0"/>
        <v>34.387999999999998</v>
      </c>
    </row>
    <row r="7" spans="1:36" x14ac:dyDescent="0.25">
      <c r="A7">
        <f t="shared" si="1"/>
        <v>600</v>
      </c>
      <c r="B7">
        <v>65.483999999999995</v>
      </c>
      <c r="C7">
        <v>16.376999999999999</v>
      </c>
      <c r="D7">
        <v>29.983000000000001</v>
      </c>
      <c r="E7">
        <v>27.611999999999998</v>
      </c>
      <c r="F7">
        <v>50.76</v>
      </c>
      <c r="G7">
        <v>24.759</v>
      </c>
      <c r="H7">
        <v>19.669</v>
      </c>
      <c r="I7">
        <v>20.382999999999999</v>
      </c>
      <c r="J7">
        <v>15.699</v>
      </c>
      <c r="K7">
        <v>13.27</v>
      </c>
      <c r="L7">
        <v>24.975000000000001</v>
      </c>
      <c r="AJ7">
        <f t="shared" si="0"/>
        <v>308.971</v>
      </c>
    </row>
    <row r="8" spans="1:36" x14ac:dyDescent="0.25">
      <c r="A8">
        <f t="shared" si="1"/>
        <v>525</v>
      </c>
      <c r="B8">
        <v>50.328000000000003</v>
      </c>
      <c r="C8">
        <v>47.872999999999998</v>
      </c>
      <c r="D8">
        <v>8.4659999999999993</v>
      </c>
      <c r="E8">
        <v>4.806</v>
      </c>
      <c r="F8">
        <v>41.83</v>
      </c>
      <c r="G8">
        <v>9.9749999999999996</v>
      </c>
      <c r="H8">
        <v>14.842000000000001</v>
      </c>
      <c r="I8">
        <v>45.832000000000001</v>
      </c>
      <c r="J8">
        <v>8.0109999999999992</v>
      </c>
      <c r="K8">
        <v>38.948999999999998</v>
      </c>
      <c r="L8">
        <v>40.508000000000003</v>
      </c>
      <c r="AJ8">
        <f t="shared" si="0"/>
        <v>311.41999999999996</v>
      </c>
    </row>
    <row r="9" spans="1:36" x14ac:dyDescent="0.25">
      <c r="A9">
        <f>A8-75</f>
        <v>450</v>
      </c>
      <c r="B9">
        <v>36.277000000000001</v>
      </c>
      <c r="C9">
        <v>13.487</v>
      </c>
      <c r="D9">
        <v>41.976999999999997</v>
      </c>
      <c r="E9">
        <v>43.162999999999997</v>
      </c>
      <c r="F9">
        <v>28.614999999999998</v>
      </c>
      <c r="AJ9">
        <f t="shared" si="0"/>
        <v>163.51900000000001</v>
      </c>
    </row>
    <row r="10" spans="1:36" x14ac:dyDescent="0.25">
      <c r="A10">
        <f t="shared" si="1"/>
        <v>375</v>
      </c>
      <c r="B10">
        <v>13.692</v>
      </c>
      <c r="C10">
        <v>11.138999999999999</v>
      </c>
      <c r="D10">
        <v>11.359</v>
      </c>
      <c r="E10">
        <v>10.007</v>
      </c>
      <c r="F10">
        <v>34.558</v>
      </c>
      <c r="G10">
        <v>9.3330000000000002</v>
      </c>
      <c r="H10">
        <v>28.373999999999999</v>
      </c>
      <c r="I10">
        <v>14.340999999999999</v>
      </c>
      <c r="J10">
        <v>12.225</v>
      </c>
      <c r="K10">
        <v>9.6869999999999994</v>
      </c>
      <c r="L10">
        <v>8.0109999999999992</v>
      </c>
      <c r="M10">
        <v>28.181999999999999</v>
      </c>
      <c r="N10">
        <v>22.651</v>
      </c>
      <c r="O10">
        <v>22.516999999999999</v>
      </c>
      <c r="P10">
        <v>9.5990000000000002</v>
      </c>
      <c r="Q10">
        <v>9.6029999999999998</v>
      </c>
      <c r="R10">
        <v>31.123999999999999</v>
      </c>
      <c r="S10">
        <v>12.83</v>
      </c>
      <c r="T10">
        <v>10.631</v>
      </c>
      <c r="U10">
        <v>9.7910000000000004</v>
      </c>
      <c r="V10">
        <v>9.0389999999999997</v>
      </c>
      <c r="W10">
        <v>9.9350000000000005</v>
      </c>
      <c r="X10">
        <v>20.635000000000002</v>
      </c>
      <c r="Y10">
        <v>28.166</v>
      </c>
      <c r="Z10">
        <v>18.984999999999999</v>
      </c>
      <c r="AA10">
        <v>12.132999999999999</v>
      </c>
      <c r="AB10">
        <v>40.671999999999997</v>
      </c>
      <c r="AC10">
        <v>40.82</v>
      </c>
      <c r="AD10">
        <v>11.606</v>
      </c>
      <c r="AE10">
        <v>38.363</v>
      </c>
      <c r="AF10">
        <v>8.0310000000000006</v>
      </c>
      <c r="AG10">
        <v>13.714</v>
      </c>
      <c r="AH10">
        <v>12.742000000000001</v>
      </c>
      <c r="AJ10">
        <f t="shared" si="0"/>
        <v>584.49499999999989</v>
      </c>
    </row>
    <row r="12" spans="1:36" x14ac:dyDescent="0.25">
      <c r="A12" t="s">
        <v>144</v>
      </c>
    </row>
    <row r="13" spans="1:36" x14ac:dyDescent="0.25">
      <c r="A13">
        <v>300</v>
      </c>
      <c r="B13">
        <v>13.042999999999999</v>
      </c>
      <c r="C13">
        <v>34.027999999999999</v>
      </c>
      <c r="D13">
        <v>22.356999999999999</v>
      </c>
      <c r="E13">
        <v>56.006999999999998</v>
      </c>
      <c r="F13">
        <v>35.213999999999999</v>
      </c>
      <c r="G13">
        <v>25</v>
      </c>
      <c r="H13">
        <v>25.01</v>
      </c>
      <c r="I13">
        <v>11.938000000000001</v>
      </c>
      <c r="J13">
        <v>27.773</v>
      </c>
      <c r="AJ13">
        <f t="shared" si="0"/>
        <v>250.36999999999998</v>
      </c>
    </row>
    <row r="14" spans="1:36" x14ac:dyDescent="0.25">
      <c r="A14">
        <v>225</v>
      </c>
      <c r="B14">
        <v>9.8970000000000002</v>
      </c>
      <c r="C14">
        <v>8.8239999999999998</v>
      </c>
      <c r="D14">
        <v>43.426000000000002</v>
      </c>
      <c r="E14">
        <v>4.0720000000000001</v>
      </c>
      <c r="F14">
        <v>27</v>
      </c>
      <c r="G14">
        <v>6.6589999999999998</v>
      </c>
      <c r="H14">
        <v>7.3769999999999998</v>
      </c>
      <c r="I14">
        <v>26.975999999999999</v>
      </c>
      <c r="AJ14">
        <f t="shared" si="0"/>
        <v>134.23099999999999</v>
      </c>
    </row>
    <row r="15" spans="1:36" x14ac:dyDescent="0.25">
      <c r="A15">
        <v>200</v>
      </c>
      <c r="B15">
        <v>27.146000000000001</v>
      </c>
      <c r="C15">
        <v>25.327000000000002</v>
      </c>
      <c r="D15">
        <v>35.350999999999999</v>
      </c>
      <c r="E15">
        <v>35.045000000000002</v>
      </c>
      <c r="AJ15">
        <f t="shared" si="0"/>
        <v>122.869</v>
      </c>
    </row>
    <row r="16" spans="1:36" x14ac:dyDescent="0.25">
      <c r="A16">
        <v>150</v>
      </c>
      <c r="B16">
        <v>23.143999999999998</v>
      </c>
      <c r="C16">
        <v>46.863</v>
      </c>
      <c r="D16">
        <v>31.318000000000001</v>
      </c>
      <c r="E16">
        <v>25.004999999999999</v>
      </c>
      <c r="AJ16">
        <f t="shared" si="0"/>
        <v>126.33</v>
      </c>
    </row>
    <row r="17" spans="1:36" x14ac:dyDescent="0.25">
      <c r="A17">
        <v>100</v>
      </c>
      <c r="B17">
        <v>31.155999999999999</v>
      </c>
      <c r="AJ17">
        <f t="shared" si="0"/>
        <v>31.155999999999999</v>
      </c>
    </row>
    <row r="23" spans="1:36" x14ac:dyDescent="0.25">
      <c r="A23" t="s">
        <v>145</v>
      </c>
    </row>
    <row r="24" spans="1:36" x14ac:dyDescent="0.25">
      <c r="A24" t="s">
        <v>143</v>
      </c>
    </row>
    <row r="25" spans="1:36" x14ac:dyDescent="0.25">
      <c r="A25">
        <v>900</v>
      </c>
    </row>
    <row r="26" spans="1:36" x14ac:dyDescent="0.25">
      <c r="A26">
        <f>A25-75</f>
        <v>825</v>
      </c>
    </row>
    <row r="27" spans="1:36" x14ac:dyDescent="0.25">
      <c r="A27">
        <f t="shared" ref="A27:A30" si="2">A26-75</f>
        <v>750</v>
      </c>
      <c r="B27">
        <v>88.331999999999994</v>
      </c>
      <c r="C27">
        <v>50.213999999999999</v>
      </c>
      <c r="D27">
        <v>13.211</v>
      </c>
      <c r="E27">
        <v>30.077000000000002</v>
      </c>
      <c r="F27">
        <v>14.417</v>
      </c>
      <c r="G27">
        <v>14.417</v>
      </c>
      <c r="H27">
        <v>41.866999999999997</v>
      </c>
      <c r="AJ27">
        <f t="shared" si="0"/>
        <v>252.535</v>
      </c>
    </row>
    <row r="28" spans="1:36" x14ac:dyDescent="0.25">
      <c r="A28">
        <f t="shared" si="2"/>
        <v>675</v>
      </c>
    </row>
    <row r="29" spans="1:36" x14ac:dyDescent="0.25">
      <c r="A29">
        <f t="shared" si="2"/>
        <v>600</v>
      </c>
      <c r="B29">
        <v>9.7680000000000007</v>
      </c>
      <c r="C29">
        <v>9.7680000000000007</v>
      </c>
      <c r="D29">
        <v>10.35</v>
      </c>
      <c r="E29">
        <v>10.35</v>
      </c>
      <c r="F29">
        <v>8.7590000000000003</v>
      </c>
      <c r="G29">
        <v>8.7590000000000003</v>
      </c>
      <c r="H29">
        <v>16.515999999999998</v>
      </c>
      <c r="I29">
        <v>28.535</v>
      </c>
      <c r="J29">
        <v>28.117999999999999</v>
      </c>
      <c r="K29">
        <v>41.502000000000002</v>
      </c>
      <c r="L29">
        <v>7.7569999999999997</v>
      </c>
      <c r="M29">
        <v>7.7569999999999997</v>
      </c>
      <c r="N29">
        <v>8.01</v>
      </c>
      <c r="O29">
        <v>8.01</v>
      </c>
      <c r="AJ29">
        <f t="shared" si="0"/>
        <v>203.959</v>
      </c>
    </row>
    <row r="30" spans="1:36" x14ac:dyDescent="0.25">
      <c r="A30">
        <f t="shared" si="2"/>
        <v>525</v>
      </c>
      <c r="B30">
        <v>44.728999999999999</v>
      </c>
      <c r="AJ30">
        <f t="shared" si="0"/>
        <v>44.728999999999999</v>
      </c>
    </row>
    <row r="31" spans="1:36" x14ac:dyDescent="0.25">
      <c r="A31">
        <f>A30-75</f>
        <v>450</v>
      </c>
      <c r="B31">
        <v>8.0640000000000001</v>
      </c>
      <c r="C31">
        <v>37.595999999999997</v>
      </c>
      <c r="D31">
        <v>10.603999999999999</v>
      </c>
      <c r="E31">
        <v>8.1419999999999995</v>
      </c>
      <c r="F31">
        <v>41.323</v>
      </c>
      <c r="G31">
        <v>12.202999999999999</v>
      </c>
      <c r="H31">
        <v>12.202999999999999</v>
      </c>
      <c r="I31">
        <v>12.202999999999999</v>
      </c>
      <c r="J31">
        <v>7.06</v>
      </c>
      <c r="K31">
        <v>7.06</v>
      </c>
      <c r="L31">
        <v>7.06</v>
      </c>
      <c r="M31">
        <v>4.6980000000000004</v>
      </c>
      <c r="N31">
        <v>4.6980000000000004</v>
      </c>
      <c r="O31">
        <v>4.6980000000000004</v>
      </c>
      <c r="AJ31">
        <f t="shared" si="0"/>
        <v>177.61200000000002</v>
      </c>
    </row>
    <row r="32" spans="1:36" x14ac:dyDescent="0.25">
      <c r="A32">
        <f t="shared" ref="A32" si="3">A31-75</f>
        <v>375</v>
      </c>
      <c r="B32">
        <v>62.41</v>
      </c>
      <c r="C32">
        <v>10.225</v>
      </c>
      <c r="D32">
        <v>7.9619999999999997</v>
      </c>
      <c r="E32">
        <v>45.097999999999999</v>
      </c>
      <c r="F32">
        <v>19.937000000000001</v>
      </c>
      <c r="G32">
        <v>8.1370000000000005</v>
      </c>
      <c r="H32">
        <v>12.88</v>
      </c>
      <c r="I32">
        <v>8.032</v>
      </c>
      <c r="J32">
        <v>21.536000000000001</v>
      </c>
      <c r="K32">
        <v>44.600999999999999</v>
      </c>
      <c r="L32">
        <v>28.324000000000002</v>
      </c>
      <c r="M32">
        <v>8.1150000000000002</v>
      </c>
      <c r="N32">
        <v>9.6029999999999998</v>
      </c>
      <c r="O32">
        <v>56.758000000000003</v>
      </c>
      <c r="P32">
        <v>50.26</v>
      </c>
      <c r="Q32">
        <v>7.6580000000000004</v>
      </c>
      <c r="R32">
        <v>15.920999999999999</v>
      </c>
      <c r="S32">
        <v>39.47</v>
      </c>
      <c r="T32">
        <v>8.8710000000000004</v>
      </c>
      <c r="AJ32">
        <f t="shared" si="0"/>
        <v>465.798</v>
      </c>
    </row>
    <row r="34" spans="1:36" x14ac:dyDescent="0.25">
      <c r="A34" t="s">
        <v>144</v>
      </c>
    </row>
    <row r="35" spans="1:36" x14ac:dyDescent="0.25">
      <c r="A35">
        <v>300</v>
      </c>
      <c r="B35">
        <v>16.448</v>
      </c>
      <c r="C35">
        <v>3.9089999999999998</v>
      </c>
      <c r="D35">
        <v>16.603999999999999</v>
      </c>
      <c r="E35">
        <v>18.198</v>
      </c>
      <c r="AJ35">
        <f t="shared" si="0"/>
        <v>55.158999999999999</v>
      </c>
    </row>
    <row r="36" spans="1:36" x14ac:dyDescent="0.25">
      <c r="A36">
        <v>225</v>
      </c>
      <c r="B36">
        <v>6.5129999999999999</v>
      </c>
      <c r="C36">
        <v>39.912999999999997</v>
      </c>
      <c r="D36">
        <v>22.452000000000002</v>
      </c>
      <c r="E36">
        <v>18.341999999999999</v>
      </c>
      <c r="F36">
        <v>20.518000000000001</v>
      </c>
      <c r="G36">
        <v>26.606999999999999</v>
      </c>
      <c r="H36">
        <v>20.88</v>
      </c>
      <c r="I36">
        <v>17.294</v>
      </c>
      <c r="J36">
        <v>7.056</v>
      </c>
      <c r="K36">
        <v>34.636000000000003</v>
      </c>
      <c r="L36">
        <v>9.0310000000000006</v>
      </c>
      <c r="M36">
        <v>3.226</v>
      </c>
      <c r="N36">
        <v>18.678999999999998</v>
      </c>
      <c r="O36">
        <v>21.242000000000001</v>
      </c>
      <c r="P36">
        <v>24.117000000000001</v>
      </c>
      <c r="Q36">
        <v>25.471</v>
      </c>
      <c r="R36">
        <v>9.3879999999999999</v>
      </c>
      <c r="AJ36">
        <f t="shared" si="0"/>
        <v>325.36500000000001</v>
      </c>
    </row>
    <row r="37" spans="1:36" x14ac:dyDescent="0.25">
      <c r="A37">
        <v>200</v>
      </c>
      <c r="B37">
        <v>20.306999999999999</v>
      </c>
      <c r="C37">
        <v>20.177</v>
      </c>
      <c r="AJ37">
        <f t="shared" si="0"/>
        <v>40.483999999999995</v>
      </c>
    </row>
    <row r="38" spans="1:36" x14ac:dyDescent="0.25">
      <c r="A38">
        <v>150</v>
      </c>
      <c r="B38">
        <v>20.257000000000001</v>
      </c>
      <c r="C38">
        <v>25.068999999999999</v>
      </c>
      <c r="AJ38">
        <f t="shared" si="0"/>
        <v>45.326000000000001</v>
      </c>
    </row>
    <row r="43" spans="1:36" x14ac:dyDescent="0.25">
      <c r="A43" t="s">
        <v>146</v>
      </c>
    </row>
    <row r="44" spans="1:36" x14ac:dyDescent="0.25">
      <c r="A44">
        <v>750</v>
      </c>
      <c r="B44">
        <v>17.341999999999999</v>
      </c>
      <c r="AJ44">
        <f t="shared" si="0"/>
        <v>17.341999999999999</v>
      </c>
    </row>
    <row r="45" spans="1:36" x14ac:dyDescent="0.25">
      <c r="A45">
        <v>675</v>
      </c>
      <c r="B45">
        <v>41.930999999999997</v>
      </c>
      <c r="C45">
        <v>16.337</v>
      </c>
      <c r="AJ45">
        <f t="shared" si="0"/>
        <v>58.268000000000001</v>
      </c>
    </row>
    <row r="46" spans="1:36" x14ac:dyDescent="0.25">
      <c r="A46">
        <v>375</v>
      </c>
      <c r="B46">
        <v>23.687000000000001</v>
      </c>
      <c r="C46">
        <v>11.131</v>
      </c>
      <c r="AJ46">
        <f t="shared" si="0"/>
        <v>34.817999999999998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7415C5-A4AD-49BD-A3F9-3770C2D937FE}"/>
</file>

<file path=customXml/itemProps2.xml><?xml version="1.0" encoding="utf-8"?>
<ds:datastoreItem xmlns:ds="http://schemas.openxmlformats.org/officeDocument/2006/customXml" ds:itemID="{B2AEDB03-ADAC-4E76-9147-3BD05A3E43B5}">
  <ds:schemaRefs>
    <ds:schemaRef ds:uri="http://schemas.microsoft.com/office/2006/metadata/properties"/>
    <ds:schemaRef ds:uri="http://schemas.microsoft.com/office/infopath/2007/PartnerControls"/>
    <ds:schemaRef ds:uri="ae7b334c-a941-4f8a-ba03-734a9c809466"/>
    <ds:schemaRef ds:uri="69b8687d-b3f5-4f0a-925b-1dc56e2d2afc"/>
  </ds:schemaRefs>
</ds:datastoreItem>
</file>

<file path=customXml/itemProps3.xml><?xml version="1.0" encoding="utf-8"?>
<ds:datastoreItem xmlns:ds="http://schemas.openxmlformats.org/officeDocument/2006/customXml" ds:itemID="{43AAA704-14F2-47E8-8F41-685AFF8313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Trunk Rd C  </vt:lpstr>
      <vt:lpstr>ST 1,2 RES BOQ </vt:lpstr>
      <vt:lpstr>ST 3,4,5,6 RES BOQ  </vt:lpstr>
      <vt:lpstr>stormwater pipe calcs</vt:lpstr>
      <vt:lpstr>'ST 1,2 RES BOQ '!Print_Area</vt:lpstr>
      <vt:lpstr>'ST 3,4,5,6 RES BOQ  '!Print_Area</vt:lpstr>
      <vt:lpstr>'Trunk Rd C  '!Print_Area</vt:lpstr>
      <vt:lpstr>'ST 1,2 RES BOQ '!Print_Titles</vt:lpstr>
      <vt:lpstr>'ST 3,4,5,6 RES BOQ  '!Print_Titles</vt:lpstr>
      <vt:lpstr>'Trunk Rd C 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graham</dc:creator>
  <cp:keywords/>
  <dc:description/>
  <cp:lastModifiedBy>Chris Abad | McIntosh Civil</cp:lastModifiedBy>
  <cp:revision/>
  <dcterms:created xsi:type="dcterms:W3CDTF">2013-06-26T22:07:02Z</dcterms:created>
  <dcterms:modified xsi:type="dcterms:W3CDTF">2026-07-14T13:02:52Z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MediaServiceImageTags">
    <vt:lpwstr/>
  </property>
</Properties>
</file>