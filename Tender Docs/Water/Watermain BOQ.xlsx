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ntoshprojects-my.sharepoint.com/personal/chris_mcintoshcivil_au/Documents/Subcontractor Document Packages/Limestone/14 Watermain - Subcontractors/"/>
    </mc:Choice>
  </mc:AlternateContent>
  <xr:revisionPtr revIDLastSave="1" documentId="8_{7CD25222-13B6-464A-885A-D5784BCB842A}" xr6:coauthVersionLast="47" xr6:coauthVersionMax="47" xr10:uidLastSave="{DE1B5010-29C9-4022-BCFB-6F2F454296F1}"/>
  <bookViews>
    <workbookView xWindow="-21697" yWindow="-2948" windowWidth="21795" windowHeight="12975" xr2:uid="{00000000-000D-0000-FFFF-FFFF00000000}"/>
  </bookViews>
  <sheets>
    <sheet name="Trunk Rd C  " sheetId="8" r:id="rId1"/>
    <sheet name="ST 1,2 RES BOQ " sheetId="10" r:id="rId2"/>
    <sheet name="ST 3,4,5,6 RES BOQ  " sheetId="15" r:id="rId3"/>
    <sheet name="stormwater pipe calcs" sheetId="16" state="hidden" r:id="rId4"/>
  </sheets>
  <definedNames>
    <definedName name="_xlnm.Print_Area" localSheetId="1">'ST 1,2 RES BOQ '!$A$3:$G$101</definedName>
    <definedName name="_xlnm.Print_Area" localSheetId="2">'ST 3,4,5,6 RES BOQ  '!$A$3:$G$37</definedName>
    <definedName name="_xlnm.Print_Area" localSheetId="0">'Trunk Rd C  '!$A$3:$G$26</definedName>
    <definedName name="_xlnm.Print_Titles" localSheetId="1">'ST 1,2 RES BOQ '!$3:$4</definedName>
    <definedName name="_xlnm.Print_Titles" localSheetId="2">'ST 3,4,5,6 RES BOQ  '!$3:$4</definedName>
    <definedName name="_xlnm.Print_Titles" localSheetId="0">'Trunk Rd C  '!$3:$4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0" l="1"/>
  <c r="G23" i="8"/>
  <c r="G18" i="8"/>
  <c r="G14" i="8"/>
  <c r="G11" i="8"/>
  <c r="G23" i="15"/>
  <c r="G21" i="15"/>
  <c r="G9" i="15"/>
  <c r="G7" i="15"/>
  <c r="G37" i="15"/>
  <c r="G36" i="15"/>
  <c r="G35" i="15"/>
  <c r="G34" i="15"/>
  <c r="G33" i="15"/>
  <c r="G31" i="15"/>
  <c r="G30" i="15"/>
  <c r="G28" i="15"/>
  <c r="G27" i="15"/>
  <c r="G25" i="15"/>
  <c r="G22" i="15"/>
  <c r="G20" i="15"/>
  <c r="G19" i="15"/>
  <c r="G17" i="15"/>
  <c r="G15" i="15"/>
  <c r="G11" i="15"/>
  <c r="F5" i="15" l="1"/>
  <c r="G21" i="10"/>
  <c r="G7" i="10"/>
  <c r="G8" i="10"/>
  <c r="G98" i="10" l="1"/>
  <c r="G83" i="10"/>
  <c r="G82" i="10"/>
  <c r="G80" i="10"/>
  <c r="G77" i="10"/>
  <c r="G78" i="10"/>
  <c r="G76" i="10"/>
  <c r="G72" i="10"/>
  <c r="G65" i="10"/>
  <c r="G53" i="10"/>
  <c r="G43" i="10"/>
  <c r="G30" i="10"/>
  <c r="G39" i="10"/>
  <c r="G40" i="10"/>
  <c r="G71" i="10"/>
  <c r="G68" i="10"/>
  <c r="G84" i="10"/>
  <c r="G66" i="10"/>
  <c r="F63" i="10" l="1"/>
  <c r="AJ44" i="16" l="1"/>
  <c r="AJ45" i="16"/>
  <c r="AJ46" i="16"/>
  <c r="AJ27" i="16"/>
  <c r="AJ29" i="16"/>
  <c r="AJ30" i="16"/>
  <c r="AJ31" i="16"/>
  <c r="AJ32" i="16"/>
  <c r="AJ35" i="16"/>
  <c r="AJ36" i="16"/>
  <c r="AJ37" i="16"/>
  <c r="AJ38" i="16"/>
  <c r="AJ4" i="16"/>
  <c r="AJ5" i="16"/>
  <c r="AJ6" i="16"/>
  <c r="AJ7" i="16"/>
  <c r="AJ8" i="16"/>
  <c r="AJ9" i="16"/>
  <c r="AJ10" i="16"/>
  <c r="AJ13" i="16"/>
  <c r="AJ14" i="16"/>
  <c r="AJ15" i="16"/>
  <c r="AJ16" i="16"/>
  <c r="AJ17" i="16"/>
  <c r="AJ3" i="16"/>
  <c r="A26" i="16"/>
  <c r="A27" i="16" s="1"/>
  <c r="A28" i="16" s="1"/>
  <c r="A29" i="16" s="1"/>
  <c r="A30" i="16" s="1"/>
  <c r="A31" i="16" s="1"/>
  <c r="A32" i="16" s="1"/>
  <c r="A9" i="16"/>
  <c r="A10" i="16" s="1"/>
  <c r="A5" i="16"/>
  <c r="A6" i="16"/>
  <c r="A7" i="16"/>
  <c r="A8" i="16"/>
  <c r="A4" i="16"/>
  <c r="G59" i="10" l="1"/>
  <c r="G58" i="10"/>
  <c r="G9" i="10" l="1"/>
  <c r="G51" i="10"/>
  <c r="G50" i="10"/>
  <c r="G48" i="10"/>
  <c r="G10" i="10"/>
  <c r="G101" i="10"/>
  <c r="G100" i="10"/>
  <c r="G97" i="10"/>
  <c r="G96" i="10"/>
  <c r="G95" i="10"/>
  <c r="G94" i="10"/>
  <c r="G92" i="10"/>
  <c r="G90" i="10"/>
  <c r="G89" i="10"/>
  <c r="G87" i="10"/>
  <c r="G62" i="10"/>
  <c r="G61" i="10"/>
  <c r="G60" i="10"/>
  <c r="G56" i="10"/>
  <c r="G55" i="10"/>
  <c r="G54" i="10"/>
  <c r="G46" i="10"/>
  <c r="G45" i="10"/>
  <c r="G44" i="10"/>
  <c r="G42" i="10"/>
  <c r="G41" i="10"/>
  <c r="G37" i="10"/>
  <c r="G36" i="10"/>
  <c r="G35" i="10"/>
  <c r="G34" i="10"/>
  <c r="G33" i="10"/>
  <c r="G31" i="10"/>
  <c r="G29" i="10"/>
  <c r="G28" i="10"/>
  <c r="G26" i="10"/>
  <c r="G25" i="10"/>
  <c r="G24" i="10"/>
  <c r="G23" i="10"/>
  <c r="G20" i="10"/>
  <c r="G19" i="10"/>
  <c r="G18" i="10"/>
  <c r="G16" i="10"/>
  <c r="G15" i="10"/>
  <c r="G14" i="10"/>
  <c r="G13" i="10"/>
  <c r="G12" i="10"/>
  <c r="G26" i="8"/>
  <c r="G25" i="8"/>
  <c r="G24" i="8"/>
  <c r="G21" i="8"/>
  <c r="G20" i="8"/>
  <c r="G19" i="8"/>
  <c r="G17" i="8"/>
  <c r="G16" i="8"/>
  <c r="G13" i="8"/>
  <c r="G10" i="8"/>
  <c r="G8" i="8"/>
  <c r="F85" i="10" l="1"/>
  <c r="F5" i="10"/>
  <c r="F5" i="8"/>
</calcChain>
</file>

<file path=xl/sharedStrings.xml><?xml version="1.0" encoding="utf-8"?>
<sst xmlns="http://schemas.openxmlformats.org/spreadsheetml/2006/main" count="400" uniqueCount="188">
  <si>
    <t>LIMESTONE CR ROAD YEPPOON</t>
  </si>
  <si>
    <t>BILL OF QUANTITIES</t>
  </si>
  <si>
    <t>DATE</t>
  </si>
  <si>
    <t>REV A</t>
  </si>
  <si>
    <t>Item</t>
  </si>
  <si>
    <t>Qty.</t>
  </si>
  <si>
    <t>Unit</t>
  </si>
  <si>
    <t>Rate</t>
  </si>
  <si>
    <t>Total</t>
  </si>
  <si>
    <t>m</t>
  </si>
  <si>
    <t>Trunk Road Section C - OP WORKS</t>
  </si>
  <si>
    <t>each</t>
  </si>
  <si>
    <t>Each</t>
  </si>
  <si>
    <t>WATER RETICULATION - POTABLE</t>
  </si>
  <si>
    <t xml:space="preserve">Remove Temporary Ducksfoot Hydrant and Connect Main </t>
  </si>
  <si>
    <t>Supply, excavate, bed, lay, joint and backfill pipes (incl tape)</t>
  </si>
  <si>
    <t>5.2.1</t>
  </si>
  <si>
    <t>250mm Dia. PVC PN16</t>
  </si>
  <si>
    <t xml:space="preserve"> Supply and Install Hydrants - Potable per CMDG-W060</t>
  </si>
  <si>
    <t>5.3.1</t>
  </si>
  <si>
    <t>To Suit 250mm Dia.</t>
  </si>
  <si>
    <t>5.3.2</t>
  </si>
  <si>
    <t>Temporary Ducksfoot Hydrant to suit 250mm</t>
  </si>
  <si>
    <t xml:space="preserve"> Supply and Install Stop Valves - Potable per CMDG-W060</t>
  </si>
  <si>
    <t>5.4.1</t>
  </si>
  <si>
    <t>5.4.2</t>
  </si>
  <si>
    <t>Scour Valve to Suit 250mm Dia per CMDG-W-080</t>
  </si>
  <si>
    <t>Supply and Install Horizontal Bends including thrustblocks</t>
  </si>
  <si>
    <t>5.5.1</t>
  </si>
  <si>
    <t>250mm 6° Bends</t>
  </si>
  <si>
    <t>5.5.2</t>
  </si>
  <si>
    <t>250mm 11¼° Bends</t>
  </si>
  <si>
    <t>5.5.3</t>
  </si>
  <si>
    <t>250mm 22.5° Bends</t>
  </si>
  <si>
    <t>5.5.4</t>
  </si>
  <si>
    <t>250mm 33 3/4° Bends (22.5° + 11.25°)</t>
  </si>
  <si>
    <t>5.5.5</t>
  </si>
  <si>
    <t>250mm 45° Bends</t>
  </si>
  <si>
    <t>5.5.6</t>
  </si>
  <si>
    <t>250mm 90° Bends</t>
  </si>
  <si>
    <t xml:space="preserve"> Supply and Install Tees - Potable </t>
  </si>
  <si>
    <t>5.6.1</t>
  </si>
  <si>
    <t>250 x 250</t>
  </si>
  <si>
    <t>Disinfect Watermains - By Relevant Council - Provisional Item</t>
  </si>
  <si>
    <t>Connect to Existing Watermains - By Relevant Council - Prov. Item</t>
  </si>
  <si>
    <t>5.8.1</t>
  </si>
  <si>
    <t>Pressure testing</t>
  </si>
  <si>
    <t>8.1.1</t>
  </si>
  <si>
    <t>8.1.2</t>
  </si>
  <si>
    <t>8.2.1</t>
  </si>
  <si>
    <t>8.2.2</t>
  </si>
  <si>
    <t>8.4.1</t>
  </si>
  <si>
    <t>8.5.1</t>
  </si>
  <si>
    <t>STAGE 1 &amp; 2 - OP WORKS</t>
  </si>
  <si>
    <t>Rev A</t>
  </si>
  <si>
    <t>WATER RETICULATION TO WESTERN SIDE OF ROUNDABOUT ON ROAD 1 - POTABLE</t>
  </si>
  <si>
    <t>7.1.1</t>
  </si>
  <si>
    <t>DN63mm PE100 PN12.5 (Road 6)</t>
  </si>
  <si>
    <t>7.1.2</t>
  </si>
  <si>
    <t>100mm Dia. PVC PN16</t>
  </si>
  <si>
    <t>7.1.3</t>
  </si>
  <si>
    <t>200mm Dia. PVC PN16</t>
  </si>
  <si>
    <t>7.1.4</t>
  </si>
  <si>
    <t>250mm Dia. PVC PN16 FROM EAST LOT 1706 TO WESTERN SIDE OF ROAD 1 ROUNDABOUT</t>
  </si>
  <si>
    <t>7.2.1</t>
  </si>
  <si>
    <t>Tee To Suit 100mm Dia.</t>
  </si>
  <si>
    <t>7.2.2</t>
  </si>
  <si>
    <t>Tee To Suit 200mm Dia.</t>
  </si>
  <si>
    <t>7.2.3</t>
  </si>
  <si>
    <t>Tee To Suit 250mm Dia.</t>
  </si>
  <si>
    <t>7.2.4</t>
  </si>
  <si>
    <t>Temporary Ducksfoot Hydrant to suit 100mm (road 5 near lot 66, Road 3 near lot 71, road 2 near lot 80, road 3 near lot 125, Road 4 near lot 106)</t>
  </si>
  <si>
    <t>7.2.5</t>
  </si>
  <si>
    <t>Temporary Ducksfoot Hydrant to suit 200mm (near lot 81)</t>
  </si>
  <si>
    <t>7.3.1</t>
  </si>
  <si>
    <t>To Suit 100mm Dia.</t>
  </si>
  <si>
    <t>7.3.2</t>
  </si>
  <si>
    <t>To Suit 200mm Dia.</t>
  </si>
  <si>
    <t>7.3.3</t>
  </si>
  <si>
    <t>7.3.4</t>
  </si>
  <si>
    <t>Scour Valve to Suit 100mm Dia (including connection to Kerb Side Drainage Pit) per CMDG-W-080</t>
  </si>
  <si>
    <t>7.4.1</t>
  </si>
  <si>
    <t>100 x 200</t>
  </si>
  <si>
    <t>7.4.2</t>
  </si>
  <si>
    <t>100 x 250</t>
  </si>
  <si>
    <t>7.4.3</t>
  </si>
  <si>
    <t>200 x 200</t>
  </si>
  <si>
    <t>7.4.4</t>
  </si>
  <si>
    <t xml:space="preserve"> Supply and Install Reducers - Potable</t>
  </si>
  <si>
    <t>7.5.1</t>
  </si>
  <si>
    <t>7.5.2</t>
  </si>
  <si>
    <t>7.5.3</t>
  </si>
  <si>
    <t>7.5.4</t>
  </si>
  <si>
    <t>200 x 250</t>
  </si>
  <si>
    <t>Supply and Install Bends including thrustblocks</t>
  </si>
  <si>
    <t>7.6.1</t>
  </si>
  <si>
    <t>100mm 6° Connector</t>
  </si>
  <si>
    <t>7.6.2</t>
  </si>
  <si>
    <t>100mm 11¼° Bends</t>
  </si>
  <si>
    <t>7.6.3</t>
  </si>
  <si>
    <t>100mm 45° Bends</t>
  </si>
  <si>
    <t>7.6.4</t>
  </si>
  <si>
    <t>200mm 6° Connector</t>
  </si>
  <si>
    <t>7.6.5</t>
  </si>
  <si>
    <t>200mm 11¼° Bends</t>
  </si>
  <si>
    <t>7.6.6</t>
  </si>
  <si>
    <t>200mm 11¼° Bends (vertical)</t>
  </si>
  <si>
    <t>7.6.7</t>
  </si>
  <si>
    <t>200mm 45° Bends</t>
  </si>
  <si>
    <t>7.6.8</t>
  </si>
  <si>
    <t>200mm 90° Bends</t>
  </si>
  <si>
    <t>7.6.9</t>
  </si>
  <si>
    <t>250mm 6° Connector</t>
  </si>
  <si>
    <t>7.6.10</t>
  </si>
  <si>
    <t>7.6.11</t>
  </si>
  <si>
    <t>7.6.12</t>
  </si>
  <si>
    <t>7.6.13</t>
  </si>
  <si>
    <t>7.6.14</t>
  </si>
  <si>
    <t>End Cap to suit 100mm Dia PVC Per CMDG-W-081</t>
  </si>
  <si>
    <t>7.7.1</t>
  </si>
  <si>
    <t>End cap and thrust block for cul de sac (Road 6)</t>
  </si>
  <si>
    <t>Elongated tapping Band &amp; 63mm Poly End Connector (Road 6) - per CMDG-W-081</t>
  </si>
  <si>
    <t>7.8.1</t>
  </si>
  <si>
    <t xml:space="preserve">Elongated tapping Band </t>
  </si>
  <si>
    <t>7.8.2</t>
  </si>
  <si>
    <t xml:space="preserve">63mm Poly End Connector </t>
  </si>
  <si>
    <t>House Services - Main Cock &amp; Tapping including Maincock cover per CMDG-W-090</t>
  </si>
  <si>
    <t>7.9.1</t>
  </si>
  <si>
    <t>Suit 63mm Potable main</t>
  </si>
  <si>
    <t>7.9.2</t>
  </si>
  <si>
    <t>Suit 100mm Potable main</t>
  </si>
  <si>
    <t>7.9.3</t>
  </si>
  <si>
    <t>Suit 200mm Potable main</t>
  </si>
  <si>
    <t>7.9.4</t>
  </si>
  <si>
    <t>Suit 250mm Potable main</t>
  </si>
  <si>
    <t>Install Water Services including poly pipe and all fittings per CMDG-W-090</t>
  </si>
  <si>
    <t>7.10.1</t>
  </si>
  <si>
    <t>Water Service Under Road Including Conduit</t>
  </si>
  <si>
    <t>7.10.2</t>
  </si>
  <si>
    <t>Water Service Short Side</t>
  </si>
  <si>
    <t>7.12.1</t>
  </si>
  <si>
    <t>WATER RETICULATION FROM WESTERN SIDE ROUNDABOUT ROAD 1 TO MAIN COLLECTOR ROAD - POTABLE</t>
  </si>
  <si>
    <t xml:space="preserve">250mm Dia. PVC PN16 </t>
  </si>
  <si>
    <t xml:space="preserve"> Supply and Install Hydrants - Potable</t>
  </si>
  <si>
    <t>Temporary Ducksfoot Hydrant to Suit 100mm Dia</t>
  </si>
  <si>
    <t xml:space="preserve"> Supply and Install Stop Valves - Potable </t>
  </si>
  <si>
    <t>8.3.1</t>
  </si>
  <si>
    <t>8.3.2</t>
  </si>
  <si>
    <t>250 x 100</t>
  </si>
  <si>
    <t>100mm 22.5° Bend</t>
  </si>
  <si>
    <t>8.5.2</t>
  </si>
  <si>
    <t>100mm 45° Bend</t>
  </si>
  <si>
    <t>8.5.3</t>
  </si>
  <si>
    <t>House Services - Main Cock &amp; Tapping including Maincock cover</t>
  </si>
  <si>
    <t>8.6.1</t>
  </si>
  <si>
    <t>8.7.1</t>
  </si>
  <si>
    <t>8.7.2</t>
  </si>
  <si>
    <t xml:space="preserve">LEAD IN WATER RETICULATION (CONNECTION TO WATERMAIN IN ADELAIDE PARK RD) - PROVISION ITEM ONLY </t>
  </si>
  <si>
    <t>9.1.1</t>
  </si>
  <si>
    <t>9.2.1</t>
  </si>
  <si>
    <t>9.2.2</t>
  </si>
  <si>
    <t>To suit 250 Dia</t>
  </si>
  <si>
    <t>9.3.1</t>
  </si>
  <si>
    <t xml:space="preserve">Bends including thrustblocks </t>
  </si>
  <si>
    <t>9.4.1</t>
  </si>
  <si>
    <t>9.4.2</t>
  </si>
  <si>
    <t>9.4.3</t>
  </si>
  <si>
    <t>250mm 22½° Bends</t>
  </si>
  <si>
    <t>9.4.4</t>
  </si>
  <si>
    <t>250mm 33 3/4° Bends</t>
  </si>
  <si>
    <t>9.4.5</t>
  </si>
  <si>
    <t>9.5.1</t>
  </si>
  <si>
    <t>9.5.2</t>
  </si>
  <si>
    <t>Connect to existing mains by Livingstone Shire Council</t>
  </si>
  <si>
    <t>Stage 3, 4, 5 &amp; 6 - OP WORKS</t>
  </si>
  <si>
    <t>DN63mm PE100 PN12.5 (Road 3)</t>
  </si>
  <si>
    <t>DN63mm PE100 PN12.5 (Road 5)</t>
  </si>
  <si>
    <t>Remove temporary Ducksfoot Hydrants - Potable</t>
  </si>
  <si>
    <t>Remopve and Dispose of 100mm Temporary Ducksfoot Hydrant to suit 100mm (road 5 near lot 66, Road 3 near lot 71, road 2 near lot 80, road 3 near lot 125, Road 4 near lot 106)</t>
  </si>
  <si>
    <t>100 x 100</t>
  </si>
  <si>
    <t>100mm 22.5° Bends</t>
  </si>
  <si>
    <t>100mm 90° Bends</t>
  </si>
  <si>
    <t>End cap and thrust block for cul de sac (Road 3 &amp; road 5)</t>
  </si>
  <si>
    <t>Stage 1 &amp; 2</t>
  </si>
  <si>
    <t xml:space="preserve">Road Drainage </t>
  </si>
  <si>
    <t>IAD</t>
  </si>
  <si>
    <t>Stage 3, 4, 5, 6</t>
  </si>
  <si>
    <t>Trunk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</si>
</sst>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* #,##0.00_-;\-* #,##0.00_-;_-* &quot;-&quot;??_-;_-@_-"/>
    <numFmt numFmtId="166" formatCode="&quot;$&quot;#,##0.00"/>
    <numFmt numFmtId="167" formatCode="0.0"/>
    <numFmt numFmtId="168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sz val="10"/>
      <color rgb="FF000000"/>
      <name val="Aptos"/>
      <family val="2"/>
    </font>
    <font>
      <b/>
      <i/>
      <sz val="10"/>
      <color theme="1"/>
      <name val="Aptos"/>
      <family val="2"/>
    </font>
    <font>
      <sz val="10"/>
      <name val="Aptos"/>
      <family val="2"/>
    </font>
    <font>
      <b/>
      <i/>
      <sz val="10"/>
      <name val="Aptos"/>
      <family val="2"/>
    </font>
    <font>
      <b/>
      <i/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5">
    <xf numFmtId="0" fontId="0" fillId="0" borderId="0" xfId="0"/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14" fontId="6" fillId="0" borderId="23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1" xfId="0" quotePrefix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66" fontId="4" fillId="2" borderId="35" xfId="2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right" vertical="center"/>
    </xf>
    <xf numFmtId="0" fontId="6" fillId="3" borderId="2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166" fontId="4" fillId="2" borderId="7" xfId="2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6" fontId="8" fillId="3" borderId="26" xfId="2" applyNumberFormat="1" applyFont="1" applyFill="1" applyBorder="1" applyAlignment="1">
      <alignment vertical="center"/>
    </xf>
    <xf numFmtId="0" fontId="6" fillId="0" borderId="18" xfId="0" quotePrefix="1" applyFont="1" applyBorder="1" applyAlignment="1">
      <alignment horizontal="right" vertical="center"/>
    </xf>
    <xf numFmtId="0" fontId="6" fillId="0" borderId="25" xfId="0" applyFont="1" applyBorder="1" applyAlignment="1">
      <alignment horizontal="center" vertical="center"/>
    </xf>
    <xf numFmtId="166" fontId="8" fillId="0" borderId="25" xfId="2" applyNumberFormat="1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6" fontId="8" fillId="0" borderId="24" xfId="2" applyNumberFormat="1" applyFont="1" applyBorder="1" applyAlignment="1">
      <alignment vertical="center"/>
    </xf>
    <xf numFmtId="0" fontId="9" fillId="3" borderId="21" xfId="0" quotePrefix="1" applyFont="1" applyFill="1" applyBorder="1" applyAlignment="1">
      <alignment horizontal="right" vertical="center"/>
    </xf>
    <xf numFmtId="164" fontId="8" fillId="3" borderId="17" xfId="2" applyNumberFormat="1" applyFont="1" applyFill="1" applyBorder="1" applyAlignment="1">
      <alignment vertical="center"/>
    </xf>
    <xf numFmtId="166" fontId="8" fillId="3" borderId="24" xfId="2" applyNumberFormat="1" applyFont="1" applyFill="1" applyBorder="1" applyAlignment="1">
      <alignment vertical="center"/>
    </xf>
    <xf numFmtId="167" fontId="9" fillId="3" borderId="19" xfId="0" quotePrefix="1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164" fontId="6" fillId="0" borderId="4" xfId="2" applyNumberFormat="1" applyFont="1" applyBorder="1" applyAlignment="1">
      <alignment vertical="center"/>
    </xf>
    <xf numFmtId="166" fontId="8" fillId="3" borderId="29" xfId="2" applyNumberFormat="1" applyFont="1" applyFill="1" applyBorder="1" applyAlignment="1">
      <alignment vertical="center"/>
    </xf>
    <xf numFmtId="0" fontId="9" fillId="3" borderId="18" xfId="0" quotePrefix="1" applyFont="1" applyFill="1" applyBorder="1" applyAlignment="1">
      <alignment horizontal="right" vertical="center"/>
    </xf>
    <xf numFmtId="0" fontId="6" fillId="3" borderId="25" xfId="0" applyFont="1" applyFill="1" applyBorder="1" applyAlignment="1">
      <alignment horizontal="center" vertical="center"/>
    </xf>
    <xf numFmtId="166" fontId="8" fillId="3" borderId="25" xfId="2" applyNumberFormat="1" applyFont="1" applyFill="1" applyBorder="1" applyAlignment="1">
      <alignment vertical="center"/>
    </xf>
    <xf numFmtId="164" fontId="8" fillId="3" borderId="4" xfId="2" applyNumberFormat="1" applyFont="1" applyFill="1" applyBorder="1" applyAlignment="1">
      <alignment vertical="center"/>
    </xf>
    <xf numFmtId="0" fontId="6" fillId="3" borderId="3" xfId="2" applyNumberFormat="1" applyFont="1" applyFill="1" applyBorder="1" applyAlignment="1">
      <alignment vertical="center"/>
    </xf>
    <xf numFmtId="164" fontId="6" fillId="3" borderId="4" xfId="2" applyNumberFormat="1" applyFont="1" applyFill="1" applyBorder="1" applyAlignment="1">
      <alignment vertical="center"/>
    </xf>
    <xf numFmtId="166" fontId="6" fillId="3" borderId="25" xfId="2" applyNumberFormat="1" applyFont="1" applyFill="1" applyBorder="1" applyAlignment="1">
      <alignment vertical="center"/>
    </xf>
    <xf numFmtId="166" fontId="6" fillId="3" borderId="24" xfId="2" applyNumberFormat="1" applyFont="1" applyFill="1" applyBorder="1" applyAlignment="1">
      <alignment vertical="center"/>
    </xf>
    <xf numFmtId="164" fontId="6" fillId="3" borderId="17" xfId="2" applyNumberFormat="1" applyFont="1" applyFill="1" applyBorder="1" applyAlignment="1">
      <alignment vertical="center"/>
    </xf>
    <xf numFmtId="167" fontId="9" fillId="3" borderId="21" xfId="0" quotePrefix="1" applyNumberFormat="1" applyFont="1" applyFill="1" applyBorder="1" applyAlignment="1">
      <alignment horizontal="right" vertical="center"/>
    </xf>
    <xf numFmtId="164" fontId="6" fillId="3" borderId="9" xfId="2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vertical="center" wrapText="1"/>
    </xf>
    <xf numFmtId="0" fontId="8" fillId="3" borderId="2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9" fillId="3" borderId="3" xfId="0" applyFont="1" applyFill="1" applyBorder="1" applyAlignment="1">
      <alignment vertical="center" wrapText="1"/>
    </xf>
    <xf numFmtId="167" fontId="9" fillId="3" borderId="18" xfId="0" quotePrefix="1" applyNumberFormat="1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right" vertical="center"/>
    </xf>
    <xf numFmtId="0" fontId="6" fillId="3" borderId="8" xfId="2" applyNumberFormat="1" applyFont="1" applyFill="1" applyBorder="1" applyAlignment="1">
      <alignment horizontal="right" vertical="center"/>
    </xf>
    <xf numFmtId="0" fontId="6" fillId="3" borderId="30" xfId="0" applyFont="1" applyFill="1" applyBorder="1" applyAlignment="1">
      <alignment horizontal="right" vertical="center"/>
    </xf>
    <xf numFmtId="0" fontId="11" fillId="3" borderId="13" xfId="1" applyFont="1" applyFill="1" applyBorder="1" applyAlignment="1">
      <alignment vertical="center" wrapText="1"/>
    </xf>
    <xf numFmtId="0" fontId="6" fillId="3" borderId="30" xfId="2" applyNumberFormat="1" applyFont="1" applyFill="1" applyBorder="1" applyAlignment="1">
      <alignment horizontal="right" vertical="center"/>
    </xf>
    <xf numFmtId="0" fontId="6" fillId="3" borderId="29" xfId="0" applyFont="1" applyFill="1" applyBorder="1" applyAlignment="1">
      <alignment horizontal="center" vertical="center"/>
    </xf>
    <xf numFmtId="164" fontId="6" fillId="3" borderId="12" xfId="2" applyNumberFormat="1" applyFont="1" applyFill="1" applyBorder="1" applyAlignment="1">
      <alignment vertical="center"/>
    </xf>
    <xf numFmtId="0" fontId="10" fillId="0" borderId="3" xfId="1" applyFont="1" applyBorder="1" applyAlignment="1">
      <alignment horizontal="left" vertical="center" wrapText="1" indent="1"/>
    </xf>
    <xf numFmtId="0" fontId="6" fillId="0" borderId="3" xfId="2" applyNumberFormat="1" applyFont="1" applyBorder="1" applyAlignment="1">
      <alignment vertical="center"/>
    </xf>
    <xf numFmtId="0" fontId="9" fillId="3" borderId="11" xfId="0" applyFont="1" applyFill="1" applyBorder="1" applyAlignment="1">
      <alignment vertical="center" wrapText="1"/>
    </xf>
    <xf numFmtId="167" fontId="9" fillId="3" borderId="22" xfId="0" quotePrefix="1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66" fontId="6" fillId="0" borderId="0" xfId="2" applyNumberFormat="1" applyFont="1" applyAlignment="1">
      <alignment vertical="center"/>
    </xf>
    <xf numFmtId="0" fontId="4" fillId="3" borderId="20" xfId="0" applyFont="1" applyFill="1" applyBorder="1" applyAlignment="1">
      <alignment horizontal="right" vertical="center"/>
    </xf>
    <xf numFmtId="0" fontId="6" fillId="3" borderId="24" xfId="0" applyFont="1" applyFill="1" applyBorder="1" applyAlignment="1">
      <alignment horizontal="center" vertical="center"/>
    </xf>
    <xf numFmtId="0" fontId="6" fillId="0" borderId="21" xfId="0" quotePrefix="1" applyFont="1" applyBorder="1" applyAlignment="1">
      <alignment horizontal="right" vertical="center"/>
    </xf>
    <xf numFmtId="164" fontId="6" fillId="0" borderId="21" xfId="2" applyNumberFormat="1" applyFont="1" applyBorder="1" applyAlignment="1">
      <alignment vertical="center"/>
    </xf>
    <xf numFmtId="0" fontId="9" fillId="3" borderId="28" xfId="0" quotePrefix="1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1" xfId="0" applyFont="1" applyFill="1" applyBorder="1" applyAlignment="1">
      <alignment horizontal="right" vertical="center"/>
    </xf>
    <xf numFmtId="2" fontId="9" fillId="3" borderId="21" xfId="0" quotePrefix="1" applyNumberFormat="1" applyFont="1" applyFill="1" applyBorder="1" applyAlignment="1">
      <alignment horizontal="right" vertical="center"/>
    </xf>
    <xf numFmtId="168" fontId="4" fillId="2" borderId="35" xfId="2" applyNumberFormat="1" applyFont="1" applyFill="1" applyBorder="1" applyAlignment="1">
      <alignment horizontal="center" vertical="center"/>
    </xf>
    <xf numFmtId="168" fontId="4" fillId="2" borderId="5" xfId="2" applyNumberFormat="1" applyFont="1" applyFill="1" applyBorder="1" applyAlignment="1">
      <alignment horizontal="center" vertical="center"/>
    </xf>
    <xf numFmtId="168" fontId="6" fillId="3" borderId="3" xfId="2" applyNumberFormat="1" applyFont="1" applyFill="1" applyBorder="1" applyAlignment="1">
      <alignment vertical="center"/>
    </xf>
    <xf numFmtId="168" fontId="6" fillId="3" borderId="11" xfId="2" applyNumberFormat="1" applyFont="1" applyFill="1" applyBorder="1" applyAlignment="1">
      <alignment horizontal="right" vertical="center"/>
    </xf>
    <xf numFmtId="168" fontId="6" fillId="0" borderId="0" xfId="2" applyNumberFormat="1" applyFont="1" applyAlignment="1">
      <alignment vertical="center"/>
    </xf>
    <xf numFmtId="0" fontId="12" fillId="3" borderId="11" xfId="0" applyFont="1" applyFill="1" applyBorder="1" applyAlignment="1">
      <alignment vertical="center" wrapText="1"/>
    </xf>
    <xf numFmtId="168" fontId="6" fillId="3" borderId="11" xfId="2" applyNumberFormat="1" applyFont="1" applyFill="1" applyBorder="1" applyAlignment="1">
      <alignment vertical="center"/>
    </xf>
    <xf numFmtId="0" fontId="8" fillId="3" borderId="24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right" vertical="center"/>
    </xf>
    <xf numFmtId="0" fontId="6" fillId="0" borderId="32" xfId="0" quotePrefix="1" applyFont="1" applyBorder="1" applyAlignment="1">
      <alignment horizontal="right" vertical="center"/>
    </xf>
    <xf numFmtId="166" fontId="8" fillId="0" borderId="31" xfId="2" applyNumberFormat="1" applyFont="1" applyFill="1" applyBorder="1" applyAlignment="1">
      <alignment vertical="center"/>
    </xf>
    <xf numFmtId="164" fontId="6" fillId="0" borderId="37" xfId="2" applyNumberFormat="1" applyFont="1" applyBorder="1" applyAlignment="1">
      <alignment vertical="center"/>
    </xf>
    <xf numFmtId="168" fontId="6" fillId="0" borderId="11" xfId="2" applyNumberFormat="1" applyFont="1" applyFill="1" applyBorder="1" applyAlignment="1">
      <alignment horizontal="right" vertical="center"/>
    </xf>
    <xf numFmtId="0" fontId="12" fillId="3" borderId="10" xfId="0" applyFont="1" applyFill="1" applyBorder="1" applyAlignment="1">
      <alignment vertical="center" wrapText="1"/>
    </xf>
    <xf numFmtId="0" fontId="6" fillId="0" borderId="20" xfId="2" applyNumberFormat="1" applyFont="1" applyFill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10" xfId="0" applyFont="1" applyBorder="1" applyAlignment="1">
      <alignment horizontal="left" vertical="center" wrapText="1" indent="1"/>
    </xf>
    <xf numFmtId="168" fontId="6" fillId="3" borderId="20" xfId="2" applyNumberFormat="1" applyFont="1" applyFill="1" applyBorder="1" applyAlignment="1">
      <alignment vertical="center"/>
    </xf>
    <xf numFmtId="0" fontId="6" fillId="0" borderId="11" xfId="0" applyFont="1" applyBorder="1" applyAlignment="1">
      <alignment horizontal="right" vertical="center"/>
    </xf>
    <xf numFmtId="164" fontId="6" fillId="0" borderId="17" xfId="2" applyNumberFormat="1" applyFont="1" applyBorder="1" applyAlignment="1">
      <alignment vertical="center"/>
    </xf>
    <xf numFmtId="168" fontId="6" fillId="0" borderId="11" xfId="2" applyNumberFormat="1" applyFont="1" applyFill="1" applyBorder="1" applyAlignment="1">
      <alignment vertical="center"/>
    </xf>
    <xf numFmtId="164" fontId="6" fillId="0" borderId="17" xfId="2" applyNumberFormat="1" applyFont="1" applyFill="1" applyBorder="1" applyAlignment="1">
      <alignment vertical="center"/>
    </xf>
    <xf numFmtId="164" fontId="6" fillId="0" borderId="37" xfId="2" applyNumberFormat="1" applyFont="1" applyFill="1" applyBorder="1" applyAlignment="1">
      <alignment vertical="center"/>
    </xf>
    <xf numFmtId="0" fontId="12" fillId="3" borderId="15" xfId="0" applyFont="1" applyFill="1" applyBorder="1" applyAlignment="1">
      <alignment vertical="center" wrapText="1"/>
    </xf>
    <xf numFmtId="168" fontId="6" fillId="3" borderId="15" xfId="2" applyNumberFormat="1" applyFont="1" applyFill="1" applyBorder="1" applyAlignment="1">
      <alignment vertical="center"/>
    </xf>
    <xf numFmtId="0" fontId="8" fillId="3" borderId="34" xfId="0" applyFont="1" applyFill="1" applyBorder="1" applyAlignment="1">
      <alignment horizontal="center" vertical="center"/>
    </xf>
    <xf numFmtId="166" fontId="8" fillId="3" borderId="34" xfId="2" applyNumberFormat="1" applyFont="1" applyFill="1" applyBorder="1" applyAlignment="1">
      <alignment vertical="center"/>
    </xf>
    <xf numFmtId="164" fontId="8" fillId="3" borderId="16" xfId="2" applyNumberFormat="1" applyFont="1" applyFill="1" applyBorder="1" applyAlignment="1">
      <alignment vertical="center"/>
    </xf>
    <xf numFmtId="0" fontId="6" fillId="0" borderId="11" xfId="0" applyFont="1" applyBorder="1" applyAlignment="1">
      <alignment horizontal="left" vertical="center" wrapText="1" indent="1"/>
    </xf>
    <xf numFmtId="168" fontId="6" fillId="0" borderId="11" xfId="2" applyNumberFormat="1" applyFont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165" fontId="8" fillId="0" borderId="24" xfId="2" applyFont="1" applyBorder="1" applyAlignment="1">
      <alignment vertical="center"/>
    </xf>
    <xf numFmtId="166" fontId="8" fillId="0" borderId="24" xfId="2" applyNumberFormat="1" applyFont="1" applyFill="1" applyBorder="1" applyAlignment="1">
      <alignment vertical="center"/>
    </xf>
    <xf numFmtId="0" fontId="8" fillId="0" borderId="11" xfId="0" applyFont="1" applyBorder="1" applyAlignment="1">
      <alignment horizontal="left" vertical="center" wrapText="1" indent="1"/>
    </xf>
    <xf numFmtId="168" fontId="6" fillId="0" borderId="11" xfId="2" applyNumberFormat="1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164" fontId="8" fillId="0" borderId="17" xfId="2" applyNumberFormat="1" applyFont="1" applyBorder="1" applyAlignment="1">
      <alignment vertical="center"/>
    </xf>
    <xf numFmtId="0" fontId="11" fillId="3" borderId="11" xfId="1" applyFont="1" applyFill="1" applyBorder="1" applyAlignment="1">
      <alignment vertical="center" wrapText="1"/>
    </xf>
    <xf numFmtId="0" fontId="10" fillId="0" borderId="11" xfId="1" applyFont="1" applyBorder="1" applyAlignment="1">
      <alignment horizontal="left" vertical="center" wrapText="1" indent="1"/>
    </xf>
    <xf numFmtId="0" fontId="10" fillId="0" borderId="10" xfId="1" applyFont="1" applyBorder="1" applyAlignment="1">
      <alignment horizontal="left" vertical="center" wrapText="1" indent="1"/>
    </xf>
    <xf numFmtId="0" fontId="11" fillId="3" borderId="14" xfId="1" applyFont="1" applyFill="1" applyBorder="1" applyAlignment="1">
      <alignment vertical="center" wrapText="1"/>
    </xf>
    <xf numFmtId="0" fontId="10" fillId="0" borderId="36" xfId="1" applyFont="1" applyBorder="1" applyAlignment="1">
      <alignment horizontal="left" vertical="center" wrapText="1" indent="1"/>
    </xf>
    <xf numFmtId="168" fontId="6" fillId="0" borderId="36" xfId="2" applyNumberFormat="1" applyFont="1" applyBorder="1" applyAlignment="1">
      <alignment vertical="center"/>
    </xf>
    <xf numFmtId="166" fontId="8" fillId="0" borderId="31" xfId="2" applyNumberFormat="1" applyFont="1" applyBorder="1" applyAlignment="1">
      <alignment vertical="center"/>
    </xf>
    <xf numFmtId="166" fontId="8" fillId="0" borderId="14" xfId="2" applyNumberFormat="1" applyFont="1" applyBorder="1" applyAlignment="1">
      <alignment vertical="center"/>
    </xf>
    <xf numFmtId="0" fontId="6" fillId="3" borderId="36" xfId="0" applyFont="1" applyFill="1" applyBorder="1" applyAlignment="1">
      <alignment horizontal="right" vertical="center"/>
    </xf>
    <xf numFmtId="167" fontId="9" fillId="3" borderId="32" xfId="0" quotePrefix="1" applyNumberFormat="1" applyFont="1" applyFill="1" applyBorder="1" applyAlignment="1">
      <alignment horizontal="right" vertical="center"/>
    </xf>
    <xf numFmtId="0" fontId="11" fillId="3" borderId="27" xfId="1" applyFont="1" applyFill="1" applyBorder="1" applyAlignment="1">
      <alignment vertical="center" wrapText="1"/>
    </xf>
    <xf numFmtId="168" fontId="6" fillId="3" borderId="36" xfId="2" applyNumberFormat="1" applyFont="1" applyFill="1" applyBorder="1" applyAlignment="1">
      <alignment horizontal="right" vertical="center"/>
    </xf>
    <xf numFmtId="0" fontId="6" fillId="3" borderId="31" xfId="0" applyFont="1" applyFill="1" applyBorder="1" applyAlignment="1">
      <alignment horizontal="center" vertical="center"/>
    </xf>
    <xf numFmtId="166" fontId="8" fillId="3" borderId="31" xfId="2" applyNumberFormat="1" applyFont="1" applyFill="1" applyBorder="1" applyAlignment="1">
      <alignment vertical="center"/>
    </xf>
    <xf numFmtId="164" fontId="6" fillId="3" borderId="37" xfId="2" applyNumberFormat="1" applyFont="1" applyFill="1" applyBorder="1" applyAlignment="1">
      <alignment vertical="center"/>
    </xf>
    <xf numFmtId="165" fontId="8" fillId="0" borderId="24" xfId="2" applyFont="1" applyFill="1" applyBorder="1" applyAlignment="1">
      <alignment vertical="center"/>
    </xf>
    <xf numFmtId="168" fontId="6" fillId="0" borderId="36" xfId="2" applyNumberFormat="1" applyFont="1" applyFill="1" applyBorder="1" applyAlignment="1">
      <alignment vertical="center"/>
    </xf>
    <xf numFmtId="0" fontId="11" fillId="3" borderId="0" xfId="1" applyFont="1" applyFill="1" applyAlignment="1">
      <alignment vertical="center" wrapText="1"/>
    </xf>
    <xf numFmtId="0" fontId="4" fillId="0" borderId="11" xfId="0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7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4">
    <cellStyle name="Comma" xfId="2" builtinId="3"/>
    <cellStyle name="Comma 2" xfId="3" xr:uid="{00000000-0005-0000-0000-000001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EFF0-F7EB-4623-9DBA-E98E54AA13A9}">
  <sheetPr>
    <pageSetUpPr fitToPage="1"/>
  </sheetPr>
  <dimension ref="A1:G26"/>
  <sheetViews>
    <sheetView tabSelected="1" zoomScale="115" zoomScaleNormal="115" workbookViewId="0">
      <pane xSplit="7" ySplit="4" topLeftCell="H5" activePane="bottomRight" state="frozen"/>
      <selection pane="topRight" activeCell="I1" sqref="I1"/>
      <selection pane="bottomLeft" activeCell="A4" sqref="A4"/>
      <selection pane="bottomRight" activeCell="C29" sqref="C29"/>
    </sheetView>
  </sheetViews>
  <sheetFormatPr defaultColWidth="9.140625" defaultRowHeight="13.5" x14ac:dyDescent="0.25"/>
  <cols>
    <col min="1" max="1" width="3.140625" style="62" customWidth="1"/>
    <col min="2" max="2" width="8.7109375" style="62" customWidth="1"/>
    <col min="3" max="3" width="60.85546875" style="1" customWidth="1"/>
    <col min="4" max="4" width="10.28515625" style="1" customWidth="1"/>
    <col min="5" max="5" width="7.42578125" style="1" customWidth="1"/>
    <col min="6" max="6" width="13.42578125" style="63" bestFit="1" customWidth="1"/>
    <col min="7" max="7" width="12.7109375" style="61" customWidth="1"/>
    <col min="8" max="16384" width="9.140625" style="1"/>
  </cols>
  <sheetData>
    <row r="1" spans="1:7" ht="15.75" customHeight="1" thickBot="1" x14ac:dyDescent="0.3">
      <c r="A1" s="136" t="s">
        <v>0</v>
      </c>
      <c r="B1" s="137"/>
      <c r="C1" s="137"/>
      <c r="D1" s="137"/>
      <c r="E1" s="137"/>
      <c r="F1" s="137"/>
      <c r="G1" s="138"/>
    </row>
    <row r="2" spans="1:7" ht="15.75" customHeight="1" thickBot="1" x14ac:dyDescent="0.3">
      <c r="A2" s="139" t="s">
        <v>10</v>
      </c>
      <c r="B2" s="140"/>
      <c r="C2" s="140"/>
      <c r="D2" s="140"/>
      <c r="E2" s="140"/>
      <c r="F2" s="140"/>
      <c r="G2" s="141"/>
    </row>
    <row r="3" spans="1:7" ht="55.5" customHeight="1" thickBot="1" x14ac:dyDescent="0.3">
      <c r="A3" s="2"/>
      <c r="B3" s="131" t="s">
        <v>1</v>
      </c>
      <c r="C3" s="131"/>
      <c r="D3" s="132" t="s">
        <v>2</v>
      </c>
      <c r="E3" s="132"/>
      <c r="F3" s="3">
        <v>46204</v>
      </c>
      <c r="G3" s="4" t="s">
        <v>3</v>
      </c>
    </row>
    <row r="4" spans="1:7" ht="14.25" thickBot="1" x14ac:dyDescent="0.3">
      <c r="A4" s="5"/>
      <c r="B4" s="6"/>
      <c r="C4" s="7" t="s">
        <v>4</v>
      </c>
      <c r="D4" s="8" t="s">
        <v>5</v>
      </c>
      <c r="E4" s="9" t="s">
        <v>6</v>
      </c>
      <c r="F4" s="10" t="s">
        <v>7</v>
      </c>
      <c r="G4" s="11" t="s">
        <v>8</v>
      </c>
    </row>
    <row r="5" spans="1:7" ht="14.25" thickBot="1" x14ac:dyDescent="0.3">
      <c r="A5" s="12">
        <v>5</v>
      </c>
      <c r="B5" s="14"/>
      <c r="C5" s="42" t="s">
        <v>13</v>
      </c>
      <c r="D5" s="28"/>
      <c r="E5" s="15"/>
      <c r="F5" s="16">
        <f>SUM(G7:G26)</f>
        <v>0</v>
      </c>
      <c r="G5" s="17"/>
    </row>
    <row r="6" spans="1:7" x14ac:dyDescent="0.25">
      <c r="A6" s="43"/>
      <c r="B6" s="31">
        <v>5.0999999999999996</v>
      </c>
      <c r="C6" s="44" t="s">
        <v>14</v>
      </c>
      <c r="D6" s="35">
        <v>2</v>
      </c>
      <c r="E6" s="45" t="s">
        <v>4</v>
      </c>
      <c r="F6" s="33"/>
      <c r="G6" s="34"/>
    </row>
    <row r="7" spans="1:7" x14ac:dyDescent="0.25">
      <c r="A7" s="64"/>
      <c r="B7" s="24">
        <v>5.2</v>
      </c>
      <c r="C7" s="86" t="s">
        <v>15</v>
      </c>
      <c r="D7" s="91"/>
      <c r="E7" s="65"/>
      <c r="F7" s="26"/>
      <c r="G7" s="39"/>
    </row>
    <row r="8" spans="1:7" x14ac:dyDescent="0.25">
      <c r="A8" s="88"/>
      <c r="B8" s="89" t="s">
        <v>16</v>
      </c>
      <c r="C8" s="90" t="s">
        <v>17</v>
      </c>
      <c r="D8" s="87">
        <v>471</v>
      </c>
      <c r="E8" s="22" t="s">
        <v>9</v>
      </c>
      <c r="F8" s="23"/>
      <c r="G8" s="67">
        <f t="shared" ref="G8" si="0">+F8*D8</f>
        <v>0</v>
      </c>
    </row>
    <row r="9" spans="1:7" x14ac:dyDescent="0.25">
      <c r="A9" s="43"/>
      <c r="B9" s="31">
        <v>5.3</v>
      </c>
      <c r="C9" s="44" t="s">
        <v>18</v>
      </c>
      <c r="D9" s="35"/>
      <c r="E9" s="45"/>
      <c r="F9" s="33"/>
      <c r="G9" s="34"/>
    </row>
    <row r="10" spans="1:7" x14ac:dyDescent="0.25">
      <c r="A10" s="88"/>
      <c r="B10" s="89" t="s">
        <v>19</v>
      </c>
      <c r="C10" s="90" t="s">
        <v>20</v>
      </c>
      <c r="D10" s="87">
        <v>4</v>
      </c>
      <c r="E10" s="22" t="s">
        <v>11</v>
      </c>
      <c r="F10" s="23"/>
      <c r="G10" s="67">
        <f t="shared" ref="G10:G11" si="1">+F10*D10</f>
        <v>0</v>
      </c>
    </row>
    <row r="11" spans="1:7" x14ac:dyDescent="0.25">
      <c r="A11" s="88"/>
      <c r="B11" s="89" t="s">
        <v>21</v>
      </c>
      <c r="C11" s="90" t="s">
        <v>22</v>
      </c>
      <c r="D11" s="87">
        <v>1</v>
      </c>
      <c r="E11" s="22" t="s">
        <v>11</v>
      </c>
      <c r="F11" s="23"/>
      <c r="G11" s="67">
        <f t="shared" si="1"/>
        <v>0</v>
      </c>
    </row>
    <row r="12" spans="1:7" x14ac:dyDescent="0.25">
      <c r="A12" s="47"/>
      <c r="B12" s="31">
        <v>5.4</v>
      </c>
      <c r="C12" s="48" t="s">
        <v>23</v>
      </c>
      <c r="D12" s="35"/>
      <c r="E12" s="32"/>
      <c r="F12" s="37"/>
      <c r="G12" s="36"/>
    </row>
    <row r="13" spans="1:7" x14ac:dyDescent="0.25">
      <c r="A13" s="88"/>
      <c r="B13" s="89" t="s">
        <v>24</v>
      </c>
      <c r="C13" s="90" t="s">
        <v>20</v>
      </c>
      <c r="D13" s="87">
        <v>3</v>
      </c>
      <c r="E13" s="22" t="s">
        <v>11</v>
      </c>
      <c r="F13" s="23"/>
      <c r="G13" s="67">
        <f>+F13*D13</f>
        <v>0</v>
      </c>
    </row>
    <row r="14" spans="1:7" x14ac:dyDescent="0.25">
      <c r="A14" s="88"/>
      <c r="B14" s="89" t="s">
        <v>25</v>
      </c>
      <c r="C14" s="90" t="s">
        <v>26</v>
      </c>
      <c r="D14" s="87">
        <v>1</v>
      </c>
      <c r="E14" s="22" t="s">
        <v>11</v>
      </c>
      <c r="F14" s="23"/>
      <c r="G14" s="67">
        <f>+F14*D14</f>
        <v>0</v>
      </c>
    </row>
    <row r="15" spans="1:7" x14ac:dyDescent="0.25">
      <c r="A15" s="43"/>
      <c r="B15" s="49">
        <v>5.5</v>
      </c>
      <c r="C15" s="44" t="s">
        <v>27</v>
      </c>
      <c r="D15" s="35"/>
      <c r="E15" s="45"/>
      <c r="F15" s="33"/>
      <c r="G15" s="34"/>
    </row>
    <row r="16" spans="1:7" x14ac:dyDescent="0.25">
      <c r="A16" s="88"/>
      <c r="B16" s="89" t="s">
        <v>28</v>
      </c>
      <c r="C16" s="90" t="s">
        <v>29</v>
      </c>
      <c r="D16" s="87">
        <v>1</v>
      </c>
      <c r="E16" s="22" t="s">
        <v>11</v>
      </c>
      <c r="F16" s="23"/>
      <c r="G16" s="67">
        <f t="shared" ref="G16:G21" si="2">+F16*D16</f>
        <v>0</v>
      </c>
    </row>
    <row r="17" spans="1:7" x14ac:dyDescent="0.25">
      <c r="A17" s="88"/>
      <c r="B17" s="89" t="s">
        <v>30</v>
      </c>
      <c r="C17" s="90" t="s">
        <v>31</v>
      </c>
      <c r="D17" s="87">
        <v>2</v>
      </c>
      <c r="E17" s="22" t="s">
        <v>11</v>
      </c>
      <c r="F17" s="23"/>
      <c r="G17" s="67">
        <f t="shared" si="2"/>
        <v>0</v>
      </c>
    </row>
    <row r="18" spans="1:7" x14ac:dyDescent="0.25">
      <c r="A18" s="88"/>
      <c r="B18" s="89" t="s">
        <v>32</v>
      </c>
      <c r="C18" s="90" t="s">
        <v>33</v>
      </c>
      <c r="D18" s="87">
        <v>2</v>
      </c>
      <c r="E18" s="22" t="s">
        <v>11</v>
      </c>
      <c r="F18" s="23"/>
      <c r="G18" s="67">
        <f t="shared" si="2"/>
        <v>0</v>
      </c>
    </row>
    <row r="19" spans="1:7" x14ac:dyDescent="0.25">
      <c r="A19" s="88"/>
      <c r="B19" s="89" t="s">
        <v>34</v>
      </c>
      <c r="C19" s="90" t="s">
        <v>35</v>
      </c>
      <c r="D19" s="87">
        <v>1</v>
      </c>
      <c r="E19" s="22" t="s">
        <v>11</v>
      </c>
      <c r="F19" s="23"/>
      <c r="G19" s="67">
        <f t="shared" si="2"/>
        <v>0</v>
      </c>
    </row>
    <row r="20" spans="1:7" x14ac:dyDescent="0.25">
      <c r="A20" s="88"/>
      <c r="B20" s="89" t="s">
        <v>36</v>
      </c>
      <c r="C20" s="90" t="s">
        <v>37</v>
      </c>
      <c r="D20" s="87">
        <v>6</v>
      </c>
      <c r="E20" s="22" t="s">
        <v>11</v>
      </c>
      <c r="F20" s="23"/>
      <c r="G20" s="67">
        <f t="shared" si="2"/>
        <v>0</v>
      </c>
    </row>
    <row r="21" spans="1:7" ht="12.75" customHeight="1" x14ac:dyDescent="0.25">
      <c r="A21" s="88"/>
      <c r="B21" s="89" t="s">
        <v>38</v>
      </c>
      <c r="C21" s="90" t="s">
        <v>39</v>
      </c>
      <c r="D21" s="87">
        <v>1</v>
      </c>
      <c r="E21" s="22" t="s">
        <v>11</v>
      </c>
      <c r="F21" s="23"/>
      <c r="G21" s="67">
        <f t="shared" si="2"/>
        <v>0</v>
      </c>
    </row>
    <row r="22" spans="1:7" ht="12.75" customHeight="1" x14ac:dyDescent="0.25">
      <c r="A22" s="43"/>
      <c r="B22" s="31">
        <v>5.6</v>
      </c>
      <c r="C22" s="44" t="s">
        <v>40</v>
      </c>
      <c r="D22" s="74"/>
      <c r="E22" s="45"/>
      <c r="F22" s="33"/>
      <c r="G22" s="34"/>
    </row>
    <row r="23" spans="1:7" ht="12.75" customHeight="1" x14ac:dyDescent="0.25">
      <c r="A23" s="88"/>
      <c r="B23" s="89" t="s">
        <v>41</v>
      </c>
      <c r="C23" s="90" t="s">
        <v>42</v>
      </c>
      <c r="D23" s="87">
        <v>1</v>
      </c>
      <c r="E23" s="22" t="s">
        <v>11</v>
      </c>
      <c r="F23" s="23"/>
      <c r="G23" s="67">
        <f t="shared" ref="G23" si="3">+F23*D23</f>
        <v>0</v>
      </c>
    </row>
    <row r="24" spans="1:7" ht="12.75" customHeight="1" x14ac:dyDescent="0.25">
      <c r="A24" s="50"/>
      <c r="B24" s="27">
        <v>5.7</v>
      </c>
      <c r="C24" s="128" t="s">
        <v>43</v>
      </c>
      <c r="D24" s="51">
        <v>1</v>
      </c>
      <c r="E24" s="13" t="s">
        <v>11</v>
      </c>
      <c r="F24" s="18"/>
      <c r="G24" s="41">
        <f t="shared" ref="G24:G26" si="4">+F24*D24</f>
        <v>0</v>
      </c>
    </row>
    <row r="25" spans="1:7" ht="12.75" customHeight="1" x14ac:dyDescent="0.25">
      <c r="A25" s="52"/>
      <c r="B25" s="60">
        <v>5.8</v>
      </c>
      <c r="C25" s="53" t="s">
        <v>44</v>
      </c>
      <c r="D25" s="54"/>
      <c r="E25" s="55"/>
      <c r="F25" s="30"/>
      <c r="G25" s="56">
        <f t="shared" si="4"/>
        <v>0</v>
      </c>
    </row>
    <row r="26" spans="1:7" ht="12.75" customHeight="1" x14ac:dyDescent="0.25">
      <c r="A26" s="46"/>
      <c r="B26" s="19" t="s">
        <v>45</v>
      </c>
      <c r="C26" s="57" t="s">
        <v>46</v>
      </c>
      <c r="D26" s="58">
        <v>1</v>
      </c>
      <c r="E26" s="20" t="s">
        <v>11</v>
      </c>
      <c r="F26" s="21"/>
      <c r="G26" s="29">
        <f t="shared" si="4"/>
        <v>0</v>
      </c>
    </row>
  </sheetData>
  <mergeCells count="4">
    <mergeCell ref="A1:G1"/>
    <mergeCell ref="A2:G2"/>
    <mergeCell ref="B3:C3"/>
    <mergeCell ref="D3:E3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  <rowBreaks count="1" manualBreakCount="1">
    <brk id="2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5CBF-EF64-452A-B481-D01D236FF831}">
  <sheetPr>
    <pageSetUpPr fitToPage="1"/>
  </sheetPr>
  <dimension ref="A1:G110"/>
  <sheetViews>
    <sheetView zoomScale="130" zoomScaleNormal="130" workbookViewId="0">
      <pane xSplit="7" ySplit="4" topLeftCell="H96" activePane="bottomRight" state="frozen"/>
      <selection pane="topRight" activeCell="G938" sqref="G938"/>
      <selection pane="bottomLeft" activeCell="G938" sqref="G938"/>
      <selection pane="bottomRight" activeCell="C105" sqref="C105"/>
    </sheetView>
  </sheetViews>
  <sheetFormatPr defaultColWidth="9.140625" defaultRowHeight="13.5" x14ac:dyDescent="0.25"/>
  <cols>
    <col min="1" max="1" width="3.140625" style="62" customWidth="1"/>
    <col min="2" max="2" width="8.7109375" style="62" customWidth="1"/>
    <col min="3" max="3" width="60.85546875" style="1" customWidth="1"/>
    <col min="4" max="4" width="10.28515625" style="76" customWidth="1"/>
    <col min="5" max="5" width="7.42578125" style="1" customWidth="1"/>
    <col min="6" max="6" width="12.7109375" style="63" bestFit="1" customWidth="1"/>
    <col min="7" max="7" width="12.7109375" style="61" customWidth="1"/>
    <col min="8" max="16384" width="9.140625" style="1"/>
  </cols>
  <sheetData>
    <row r="1" spans="1:7" ht="16.5" thickBot="1" x14ac:dyDescent="0.3">
      <c r="A1" s="136" t="s">
        <v>0</v>
      </c>
      <c r="B1" s="137"/>
      <c r="C1" s="137"/>
      <c r="D1" s="137"/>
      <c r="E1" s="137"/>
      <c r="F1" s="137"/>
      <c r="G1" s="138"/>
    </row>
    <row r="2" spans="1:7" ht="16.5" customHeight="1" thickBot="1" x14ac:dyDescent="0.3">
      <c r="A2" s="142" t="s">
        <v>53</v>
      </c>
      <c r="B2" s="143"/>
      <c r="C2" s="143"/>
      <c r="D2" s="143"/>
      <c r="E2" s="143"/>
      <c r="F2" s="143"/>
      <c r="G2" s="144"/>
    </row>
    <row r="3" spans="1:7" ht="60.75" customHeight="1" thickBot="1" x14ac:dyDescent="0.3">
      <c r="A3" s="2"/>
      <c r="B3" s="131" t="s">
        <v>1</v>
      </c>
      <c r="C3" s="131"/>
      <c r="D3" s="132" t="s">
        <v>2</v>
      </c>
      <c r="E3" s="132"/>
      <c r="F3" s="3">
        <v>46204</v>
      </c>
      <c r="G3" s="4" t="s">
        <v>54</v>
      </c>
    </row>
    <row r="4" spans="1:7" ht="14.25" thickBot="1" x14ac:dyDescent="0.3">
      <c r="A4" s="5"/>
      <c r="B4" s="6"/>
      <c r="C4" s="7" t="s">
        <v>4</v>
      </c>
      <c r="D4" s="72" t="s">
        <v>5</v>
      </c>
      <c r="E4" s="9" t="s">
        <v>6</v>
      </c>
      <c r="F4" s="10" t="s">
        <v>7</v>
      </c>
      <c r="G4" s="11" t="s">
        <v>8</v>
      </c>
    </row>
    <row r="5" spans="1:7" ht="27.75" thickBot="1" x14ac:dyDescent="0.3">
      <c r="A5" s="12">
        <v>7</v>
      </c>
      <c r="B5" s="14"/>
      <c r="C5" s="42" t="s">
        <v>55</v>
      </c>
      <c r="D5" s="73"/>
      <c r="E5" s="15"/>
      <c r="F5" s="16">
        <f>SUM(G6:G62)</f>
        <v>0</v>
      </c>
      <c r="G5" s="17"/>
    </row>
    <row r="6" spans="1:7" x14ac:dyDescent="0.25">
      <c r="A6" s="69"/>
      <c r="B6" s="68">
        <v>7.1</v>
      </c>
      <c r="C6" s="97" t="s">
        <v>15</v>
      </c>
      <c r="D6" s="98"/>
      <c r="E6" s="99"/>
      <c r="F6" s="100"/>
      <c r="G6" s="101"/>
    </row>
    <row r="7" spans="1:7" ht="12.75" customHeight="1" x14ac:dyDescent="0.25">
      <c r="A7" s="92"/>
      <c r="B7" s="66" t="s">
        <v>56</v>
      </c>
      <c r="C7" s="102" t="s">
        <v>57</v>
      </c>
      <c r="D7" s="103">
        <v>83</v>
      </c>
      <c r="E7" s="22" t="s">
        <v>9</v>
      </c>
      <c r="F7" s="23"/>
      <c r="G7" s="93">
        <f t="shared" ref="G7:G10" si="0">+F7*D7</f>
        <v>0</v>
      </c>
    </row>
    <row r="8" spans="1:7" ht="12.75" customHeight="1" x14ac:dyDescent="0.25">
      <c r="A8" s="92"/>
      <c r="B8" s="66" t="s">
        <v>58</v>
      </c>
      <c r="C8" s="102" t="s">
        <v>59</v>
      </c>
      <c r="D8" s="103">
        <v>630</v>
      </c>
      <c r="E8" s="22" t="s">
        <v>9</v>
      </c>
      <c r="F8" s="23"/>
      <c r="G8" s="93">
        <f t="shared" si="0"/>
        <v>0</v>
      </c>
    </row>
    <row r="9" spans="1:7" ht="12.75" customHeight="1" x14ac:dyDescent="0.25">
      <c r="A9" s="92"/>
      <c r="B9" s="66" t="s">
        <v>60</v>
      </c>
      <c r="C9" s="102" t="s">
        <v>61</v>
      </c>
      <c r="D9" s="103">
        <v>322</v>
      </c>
      <c r="E9" s="22" t="s">
        <v>9</v>
      </c>
      <c r="F9" s="23"/>
      <c r="G9" s="93">
        <f t="shared" si="0"/>
        <v>0</v>
      </c>
    </row>
    <row r="10" spans="1:7" ht="12.75" customHeight="1" x14ac:dyDescent="0.25">
      <c r="A10" s="92"/>
      <c r="B10" s="66" t="s">
        <v>62</v>
      </c>
      <c r="C10" s="102" t="s">
        <v>63</v>
      </c>
      <c r="D10" s="103">
        <v>976</v>
      </c>
      <c r="E10" s="22" t="s">
        <v>9</v>
      </c>
      <c r="F10" s="23"/>
      <c r="G10" s="93">
        <f t="shared" si="0"/>
        <v>0</v>
      </c>
    </row>
    <row r="11" spans="1:7" ht="12.75" customHeight="1" x14ac:dyDescent="0.25">
      <c r="A11" s="70"/>
      <c r="B11" s="24">
        <v>7.2</v>
      </c>
      <c r="C11" s="77" t="s">
        <v>18</v>
      </c>
      <c r="D11" s="78"/>
      <c r="E11" s="79"/>
      <c r="F11" s="26"/>
      <c r="G11" s="25"/>
    </row>
    <row r="12" spans="1:7" ht="12.75" customHeight="1" x14ac:dyDescent="0.25">
      <c r="A12" s="92"/>
      <c r="B12" s="66" t="s">
        <v>64</v>
      </c>
      <c r="C12" s="102" t="s">
        <v>65</v>
      </c>
      <c r="D12" s="103">
        <v>9</v>
      </c>
      <c r="E12" s="22" t="s">
        <v>11</v>
      </c>
      <c r="F12" s="23"/>
      <c r="G12" s="93">
        <f t="shared" ref="G12:G16" si="1">+F12*D12</f>
        <v>0</v>
      </c>
    </row>
    <row r="13" spans="1:7" ht="12.75" customHeight="1" x14ac:dyDescent="0.25">
      <c r="A13" s="92"/>
      <c r="B13" s="66" t="s">
        <v>66</v>
      </c>
      <c r="C13" s="102" t="s">
        <v>67</v>
      </c>
      <c r="D13" s="103">
        <v>3</v>
      </c>
      <c r="E13" s="22" t="s">
        <v>11</v>
      </c>
      <c r="F13" s="23"/>
      <c r="G13" s="93">
        <f t="shared" si="1"/>
        <v>0</v>
      </c>
    </row>
    <row r="14" spans="1:7" x14ac:dyDescent="0.25">
      <c r="A14" s="92"/>
      <c r="B14" s="66" t="s">
        <v>68</v>
      </c>
      <c r="C14" s="102" t="s">
        <v>69</v>
      </c>
      <c r="D14" s="103">
        <v>13</v>
      </c>
      <c r="E14" s="22" t="s">
        <v>11</v>
      </c>
      <c r="F14" s="23"/>
      <c r="G14" s="93">
        <f t="shared" si="1"/>
        <v>0</v>
      </c>
    </row>
    <row r="15" spans="1:7" ht="27" x14ac:dyDescent="0.25">
      <c r="A15" s="92"/>
      <c r="B15" s="66" t="s">
        <v>70</v>
      </c>
      <c r="C15" s="90" t="s">
        <v>71</v>
      </c>
      <c r="D15" s="103">
        <v>5</v>
      </c>
      <c r="E15" s="22" t="s">
        <v>11</v>
      </c>
      <c r="F15" s="23"/>
      <c r="G15" s="93">
        <f t="shared" si="1"/>
        <v>0</v>
      </c>
    </row>
    <row r="16" spans="1:7" x14ac:dyDescent="0.25">
      <c r="A16" s="92"/>
      <c r="B16" s="66" t="s">
        <v>72</v>
      </c>
      <c r="C16" s="90" t="s">
        <v>73</v>
      </c>
      <c r="D16" s="103">
        <v>1</v>
      </c>
      <c r="E16" s="22" t="s">
        <v>11</v>
      </c>
      <c r="F16" s="23"/>
      <c r="G16" s="93">
        <f t="shared" si="1"/>
        <v>0</v>
      </c>
    </row>
    <row r="17" spans="1:7" x14ac:dyDescent="0.25">
      <c r="A17" s="104"/>
      <c r="B17" s="24">
        <v>7.3</v>
      </c>
      <c r="C17" s="59" t="s">
        <v>23</v>
      </c>
      <c r="D17" s="78"/>
      <c r="E17" s="65"/>
      <c r="F17" s="38"/>
      <c r="G17" s="39"/>
    </row>
    <row r="18" spans="1:7" x14ac:dyDescent="0.25">
      <c r="A18" s="92"/>
      <c r="B18" s="66" t="s">
        <v>74</v>
      </c>
      <c r="C18" s="102" t="s">
        <v>75</v>
      </c>
      <c r="D18" s="85">
        <v>10</v>
      </c>
      <c r="E18" s="22" t="s">
        <v>11</v>
      </c>
      <c r="F18" s="23"/>
      <c r="G18" s="93">
        <f>+F18*D18</f>
        <v>0</v>
      </c>
    </row>
    <row r="19" spans="1:7" x14ac:dyDescent="0.25">
      <c r="A19" s="92"/>
      <c r="B19" s="66" t="s">
        <v>76</v>
      </c>
      <c r="C19" s="102" t="s">
        <v>77</v>
      </c>
      <c r="D19" s="85">
        <v>5</v>
      </c>
      <c r="E19" s="22" t="s">
        <v>11</v>
      </c>
      <c r="F19" s="105"/>
      <c r="G19" s="93">
        <f>+F19*D19</f>
        <v>0</v>
      </c>
    </row>
    <row r="20" spans="1:7" x14ac:dyDescent="0.25">
      <c r="A20" s="92"/>
      <c r="B20" s="66" t="s">
        <v>78</v>
      </c>
      <c r="C20" s="90" t="s">
        <v>20</v>
      </c>
      <c r="D20" s="85">
        <v>6</v>
      </c>
      <c r="E20" s="22" t="s">
        <v>11</v>
      </c>
      <c r="F20" s="105"/>
      <c r="G20" s="93">
        <f>+F20*D20</f>
        <v>0</v>
      </c>
    </row>
    <row r="21" spans="1:7" ht="27" x14ac:dyDescent="0.25">
      <c r="A21" s="92"/>
      <c r="B21" s="66" t="s">
        <v>79</v>
      </c>
      <c r="C21" s="102" t="s">
        <v>80</v>
      </c>
      <c r="D21" s="85">
        <v>1</v>
      </c>
      <c r="E21" s="22" t="s">
        <v>4</v>
      </c>
      <c r="F21" s="105"/>
      <c r="G21" s="93">
        <f>+F21*D21</f>
        <v>0</v>
      </c>
    </row>
    <row r="22" spans="1:7" x14ac:dyDescent="0.25">
      <c r="A22" s="70"/>
      <c r="B22" s="24">
        <v>7.4</v>
      </c>
      <c r="C22" s="77" t="s">
        <v>40</v>
      </c>
      <c r="D22" s="78"/>
      <c r="E22" s="79"/>
      <c r="F22" s="26"/>
      <c r="G22" s="25"/>
    </row>
    <row r="23" spans="1:7" x14ac:dyDescent="0.25">
      <c r="A23" s="129"/>
      <c r="B23" s="66" t="s">
        <v>81</v>
      </c>
      <c r="C23" s="102" t="s">
        <v>82</v>
      </c>
      <c r="D23" s="103">
        <v>1</v>
      </c>
      <c r="E23" s="22" t="s">
        <v>11</v>
      </c>
      <c r="F23" s="106"/>
      <c r="G23" s="93">
        <f t="shared" ref="G23:G26" si="2">+F23*D23</f>
        <v>0</v>
      </c>
    </row>
    <row r="24" spans="1:7" x14ac:dyDescent="0.25">
      <c r="A24" s="129"/>
      <c r="B24" s="66" t="s">
        <v>83</v>
      </c>
      <c r="C24" s="102" t="s">
        <v>84</v>
      </c>
      <c r="D24" s="103">
        <v>2</v>
      </c>
      <c r="E24" s="22" t="s">
        <v>11</v>
      </c>
      <c r="F24" s="106"/>
      <c r="G24" s="93">
        <f t="shared" si="2"/>
        <v>0</v>
      </c>
    </row>
    <row r="25" spans="1:7" x14ac:dyDescent="0.25">
      <c r="A25" s="129"/>
      <c r="B25" s="66" t="s">
        <v>85</v>
      </c>
      <c r="C25" s="102" t="s">
        <v>86</v>
      </c>
      <c r="D25" s="103">
        <v>1</v>
      </c>
      <c r="E25" s="22" t="s">
        <v>11</v>
      </c>
      <c r="F25" s="106"/>
      <c r="G25" s="93">
        <f t="shared" si="2"/>
        <v>0</v>
      </c>
    </row>
    <row r="26" spans="1:7" x14ac:dyDescent="0.25">
      <c r="A26" s="129"/>
      <c r="B26" s="66" t="s">
        <v>87</v>
      </c>
      <c r="C26" s="102" t="s">
        <v>42</v>
      </c>
      <c r="D26" s="103">
        <v>4</v>
      </c>
      <c r="E26" s="22" t="s">
        <v>11</v>
      </c>
      <c r="F26" s="106"/>
      <c r="G26" s="93">
        <f t="shared" si="2"/>
        <v>0</v>
      </c>
    </row>
    <row r="27" spans="1:7" x14ac:dyDescent="0.25">
      <c r="A27" s="70"/>
      <c r="B27" s="24">
        <v>7.5</v>
      </c>
      <c r="C27" s="77" t="s">
        <v>88</v>
      </c>
      <c r="D27" s="78"/>
      <c r="E27" s="79"/>
      <c r="F27" s="26"/>
      <c r="G27" s="25"/>
    </row>
    <row r="28" spans="1:7" x14ac:dyDescent="0.25">
      <c r="A28" s="92"/>
      <c r="B28" s="66" t="s">
        <v>89</v>
      </c>
      <c r="C28" s="107" t="s">
        <v>82</v>
      </c>
      <c r="D28" s="108">
        <v>1</v>
      </c>
      <c r="E28" s="109" t="s">
        <v>11</v>
      </c>
      <c r="F28" s="23"/>
      <c r="G28" s="110">
        <f>D28*F28</f>
        <v>0</v>
      </c>
    </row>
    <row r="29" spans="1:7" x14ac:dyDescent="0.25">
      <c r="A29" s="92"/>
      <c r="B29" s="66" t="s">
        <v>90</v>
      </c>
      <c r="C29" s="107" t="s">
        <v>84</v>
      </c>
      <c r="D29" s="108">
        <v>3</v>
      </c>
      <c r="E29" s="109" t="s">
        <v>11</v>
      </c>
      <c r="F29" s="23"/>
      <c r="G29" s="110">
        <f>D29*F29</f>
        <v>0</v>
      </c>
    </row>
    <row r="30" spans="1:7" x14ac:dyDescent="0.25">
      <c r="A30" s="92"/>
      <c r="B30" s="66" t="s">
        <v>91</v>
      </c>
      <c r="C30" s="107" t="s">
        <v>82</v>
      </c>
      <c r="D30" s="108">
        <v>1</v>
      </c>
      <c r="E30" s="109" t="s">
        <v>11</v>
      </c>
      <c r="F30" s="23"/>
      <c r="G30" s="110">
        <f>D30*F30</f>
        <v>0</v>
      </c>
    </row>
    <row r="31" spans="1:7" x14ac:dyDescent="0.25">
      <c r="A31" s="92"/>
      <c r="B31" s="66" t="s">
        <v>92</v>
      </c>
      <c r="C31" s="107" t="s">
        <v>93</v>
      </c>
      <c r="D31" s="108">
        <v>1</v>
      </c>
      <c r="E31" s="109" t="s">
        <v>11</v>
      </c>
      <c r="F31" s="23"/>
      <c r="G31" s="110">
        <f t="shared" ref="G31" si="3">D31*F31</f>
        <v>0</v>
      </c>
    </row>
    <row r="32" spans="1:7" x14ac:dyDescent="0.25">
      <c r="A32" s="70"/>
      <c r="B32" s="40">
        <v>7.6</v>
      </c>
      <c r="C32" s="77" t="s">
        <v>94</v>
      </c>
      <c r="D32" s="78"/>
      <c r="E32" s="79"/>
      <c r="F32" s="26"/>
      <c r="G32" s="25"/>
    </row>
    <row r="33" spans="1:7" x14ac:dyDescent="0.25">
      <c r="A33" s="92"/>
      <c r="B33" s="66" t="s">
        <v>95</v>
      </c>
      <c r="C33" s="102" t="s">
        <v>96</v>
      </c>
      <c r="D33" s="103">
        <v>24</v>
      </c>
      <c r="E33" s="22" t="s">
        <v>11</v>
      </c>
      <c r="F33" s="23"/>
      <c r="G33" s="93">
        <f t="shared" ref="G33:G46" si="4">+F33*D33</f>
        <v>0</v>
      </c>
    </row>
    <row r="34" spans="1:7" x14ac:dyDescent="0.25">
      <c r="A34" s="92"/>
      <c r="B34" s="66" t="s">
        <v>97</v>
      </c>
      <c r="C34" s="102" t="s">
        <v>98</v>
      </c>
      <c r="D34" s="103">
        <v>3</v>
      </c>
      <c r="E34" s="22" t="s">
        <v>11</v>
      </c>
      <c r="F34" s="23"/>
      <c r="G34" s="93">
        <f t="shared" si="4"/>
        <v>0</v>
      </c>
    </row>
    <row r="35" spans="1:7" x14ac:dyDescent="0.25">
      <c r="A35" s="92"/>
      <c r="B35" s="66" t="s">
        <v>99</v>
      </c>
      <c r="C35" s="102" t="s">
        <v>100</v>
      </c>
      <c r="D35" s="103">
        <v>7</v>
      </c>
      <c r="E35" s="22" t="s">
        <v>11</v>
      </c>
      <c r="F35" s="23"/>
      <c r="G35" s="93">
        <f t="shared" si="4"/>
        <v>0</v>
      </c>
    </row>
    <row r="36" spans="1:7" x14ac:dyDescent="0.25">
      <c r="A36" s="92"/>
      <c r="B36" s="66" t="s">
        <v>101</v>
      </c>
      <c r="C36" s="102" t="s">
        <v>102</v>
      </c>
      <c r="D36" s="103">
        <v>7</v>
      </c>
      <c r="E36" s="22" t="s">
        <v>11</v>
      </c>
      <c r="F36" s="23"/>
      <c r="G36" s="93">
        <f t="shared" si="4"/>
        <v>0</v>
      </c>
    </row>
    <row r="37" spans="1:7" x14ac:dyDescent="0.25">
      <c r="A37" s="92"/>
      <c r="B37" s="66" t="s">
        <v>103</v>
      </c>
      <c r="C37" s="102" t="s">
        <v>104</v>
      </c>
      <c r="D37" s="103">
        <v>5</v>
      </c>
      <c r="E37" s="22" t="s">
        <v>11</v>
      </c>
      <c r="F37" s="23"/>
      <c r="G37" s="93">
        <f t="shared" si="4"/>
        <v>0</v>
      </c>
    </row>
    <row r="38" spans="1:7" x14ac:dyDescent="0.25">
      <c r="A38" s="92"/>
      <c r="B38" s="66" t="s">
        <v>105</v>
      </c>
      <c r="C38" s="102" t="s">
        <v>106</v>
      </c>
      <c r="D38" s="103">
        <v>2</v>
      </c>
      <c r="E38" s="22" t="s">
        <v>12</v>
      </c>
      <c r="F38" s="23"/>
      <c r="G38" s="93">
        <f t="shared" si="4"/>
        <v>0</v>
      </c>
    </row>
    <row r="39" spans="1:7" x14ac:dyDescent="0.25">
      <c r="A39" s="92"/>
      <c r="B39" s="66" t="s">
        <v>107</v>
      </c>
      <c r="C39" s="102" t="s">
        <v>108</v>
      </c>
      <c r="D39" s="103">
        <v>4</v>
      </c>
      <c r="E39" s="22" t="s">
        <v>11</v>
      </c>
      <c r="F39" s="23"/>
      <c r="G39" s="93">
        <f t="shared" si="4"/>
        <v>0</v>
      </c>
    </row>
    <row r="40" spans="1:7" x14ac:dyDescent="0.25">
      <c r="A40" s="92"/>
      <c r="B40" s="66" t="s">
        <v>109</v>
      </c>
      <c r="C40" s="102" t="s">
        <v>110</v>
      </c>
      <c r="D40" s="103">
        <v>1</v>
      </c>
      <c r="E40" s="22" t="s">
        <v>11</v>
      </c>
      <c r="F40" s="23"/>
      <c r="G40" s="93">
        <f t="shared" si="4"/>
        <v>0</v>
      </c>
    </row>
    <row r="41" spans="1:7" x14ac:dyDescent="0.25">
      <c r="A41" s="92"/>
      <c r="B41" s="66" t="s">
        <v>111</v>
      </c>
      <c r="C41" s="102" t="s">
        <v>112</v>
      </c>
      <c r="D41" s="103">
        <v>29</v>
      </c>
      <c r="E41" s="22" t="s">
        <v>11</v>
      </c>
      <c r="F41" s="23"/>
      <c r="G41" s="93">
        <f t="shared" si="4"/>
        <v>0</v>
      </c>
    </row>
    <row r="42" spans="1:7" x14ac:dyDescent="0.25">
      <c r="A42" s="92"/>
      <c r="B42" s="66" t="s">
        <v>113</v>
      </c>
      <c r="C42" s="102" t="s">
        <v>31</v>
      </c>
      <c r="D42" s="103">
        <v>5</v>
      </c>
      <c r="E42" s="22" t="s">
        <v>11</v>
      </c>
      <c r="F42" s="23"/>
      <c r="G42" s="93">
        <f t="shared" si="4"/>
        <v>0</v>
      </c>
    </row>
    <row r="43" spans="1:7" x14ac:dyDescent="0.25">
      <c r="A43" s="92"/>
      <c r="B43" s="66" t="s">
        <v>114</v>
      </c>
      <c r="C43" s="102" t="s">
        <v>33</v>
      </c>
      <c r="D43" s="103">
        <v>3</v>
      </c>
      <c r="E43" s="22" t="s">
        <v>11</v>
      </c>
      <c r="F43" s="23"/>
      <c r="G43" s="93">
        <f t="shared" si="4"/>
        <v>0</v>
      </c>
    </row>
    <row r="44" spans="1:7" x14ac:dyDescent="0.25">
      <c r="A44" s="92"/>
      <c r="B44" s="66" t="s">
        <v>115</v>
      </c>
      <c r="C44" s="102" t="s">
        <v>35</v>
      </c>
      <c r="D44" s="103">
        <v>3</v>
      </c>
      <c r="E44" s="22" t="s">
        <v>11</v>
      </c>
      <c r="F44" s="23"/>
      <c r="G44" s="93">
        <f t="shared" si="4"/>
        <v>0</v>
      </c>
    </row>
    <row r="45" spans="1:7" x14ac:dyDescent="0.25">
      <c r="A45" s="92"/>
      <c r="B45" s="66" t="s">
        <v>116</v>
      </c>
      <c r="C45" s="102" t="s">
        <v>37</v>
      </c>
      <c r="D45" s="103">
        <v>7</v>
      </c>
      <c r="E45" s="22" t="s">
        <v>11</v>
      </c>
      <c r="F45" s="23"/>
      <c r="G45" s="93">
        <f t="shared" si="4"/>
        <v>0</v>
      </c>
    </row>
    <row r="46" spans="1:7" ht="12.75" customHeight="1" x14ac:dyDescent="0.25">
      <c r="A46" s="92"/>
      <c r="B46" s="66" t="s">
        <v>117</v>
      </c>
      <c r="C46" s="102" t="s">
        <v>39</v>
      </c>
      <c r="D46" s="103">
        <v>2</v>
      </c>
      <c r="E46" s="22" t="s">
        <v>11</v>
      </c>
      <c r="F46" s="23"/>
      <c r="G46" s="67">
        <f t="shared" si="4"/>
        <v>0</v>
      </c>
    </row>
    <row r="47" spans="1:7" ht="12.75" customHeight="1" x14ac:dyDescent="0.25">
      <c r="A47" s="70"/>
      <c r="B47" s="24">
        <v>7.7</v>
      </c>
      <c r="C47" s="77" t="s">
        <v>118</v>
      </c>
      <c r="D47" s="78"/>
      <c r="E47" s="79"/>
      <c r="F47" s="26"/>
      <c r="G47" s="39"/>
    </row>
    <row r="48" spans="1:7" ht="12.75" customHeight="1" x14ac:dyDescent="0.25">
      <c r="A48" s="92"/>
      <c r="B48" s="66" t="s">
        <v>119</v>
      </c>
      <c r="C48" s="102" t="s">
        <v>120</v>
      </c>
      <c r="D48" s="103">
        <v>1</v>
      </c>
      <c r="E48" s="22" t="s">
        <v>11</v>
      </c>
      <c r="F48" s="23"/>
      <c r="G48" s="93">
        <f t="shared" ref="G48" si="5">+F48*D48</f>
        <v>0</v>
      </c>
    </row>
    <row r="49" spans="1:7" ht="12.75" customHeight="1" x14ac:dyDescent="0.25">
      <c r="A49" s="70"/>
      <c r="B49" s="24">
        <v>7.8</v>
      </c>
      <c r="C49" s="77" t="s">
        <v>121</v>
      </c>
      <c r="D49" s="78"/>
      <c r="E49" s="79"/>
      <c r="F49" s="26"/>
      <c r="G49" s="39"/>
    </row>
    <row r="50" spans="1:7" ht="12.75" customHeight="1" x14ac:dyDescent="0.25">
      <c r="A50" s="92"/>
      <c r="B50" s="66" t="s">
        <v>122</v>
      </c>
      <c r="C50" s="102" t="s">
        <v>123</v>
      </c>
      <c r="D50" s="103">
        <v>2</v>
      </c>
      <c r="E50" s="22" t="s">
        <v>11</v>
      </c>
      <c r="F50" s="106"/>
      <c r="G50" s="93">
        <f t="shared" ref="G50:G53" si="6">+F50*D50</f>
        <v>0</v>
      </c>
    </row>
    <row r="51" spans="1:7" x14ac:dyDescent="0.25">
      <c r="A51" s="92"/>
      <c r="B51" s="66" t="s">
        <v>124</v>
      </c>
      <c r="C51" s="102" t="s">
        <v>125</v>
      </c>
      <c r="D51" s="103">
        <v>2</v>
      </c>
      <c r="E51" s="22" t="s">
        <v>11</v>
      </c>
      <c r="F51" s="106"/>
      <c r="G51" s="93">
        <f t="shared" si="6"/>
        <v>0</v>
      </c>
    </row>
    <row r="52" spans="1:7" ht="27" x14ac:dyDescent="0.25">
      <c r="A52" s="70"/>
      <c r="B52" s="40">
        <v>7.9</v>
      </c>
      <c r="C52" s="111" t="s">
        <v>126</v>
      </c>
      <c r="D52" s="78"/>
      <c r="E52" s="79"/>
      <c r="F52" s="26"/>
      <c r="G52" s="25"/>
    </row>
    <row r="53" spans="1:7" ht="12.75" customHeight="1" x14ac:dyDescent="0.25">
      <c r="A53" s="92"/>
      <c r="B53" s="66" t="s">
        <v>127</v>
      </c>
      <c r="C53" s="112" t="s">
        <v>128</v>
      </c>
      <c r="D53" s="103">
        <v>3</v>
      </c>
      <c r="E53" s="22" t="s">
        <v>11</v>
      </c>
      <c r="F53" s="106"/>
      <c r="G53" s="93">
        <f t="shared" si="6"/>
        <v>0</v>
      </c>
    </row>
    <row r="54" spans="1:7" ht="12.75" customHeight="1" x14ac:dyDescent="0.25">
      <c r="A54" s="92"/>
      <c r="B54" s="66" t="s">
        <v>129</v>
      </c>
      <c r="C54" s="112" t="s">
        <v>130</v>
      </c>
      <c r="D54" s="108">
        <v>24</v>
      </c>
      <c r="E54" s="22" t="s">
        <v>11</v>
      </c>
      <c r="F54" s="23"/>
      <c r="G54" s="93">
        <f>+F54*D54</f>
        <v>0</v>
      </c>
    </row>
    <row r="55" spans="1:7" ht="12.75" customHeight="1" x14ac:dyDescent="0.25">
      <c r="A55" s="92"/>
      <c r="B55" s="66" t="s">
        <v>131</v>
      </c>
      <c r="C55" s="113" t="s">
        <v>132</v>
      </c>
      <c r="D55" s="108">
        <v>10</v>
      </c>
      <c r="E55" s="22" t="s">
        <v>11</v>
      </c>
      <c r="F55" s="23"/>
      <c r="G55" s="93">
        <f>+F55*D55</f>
        <v>0</v>
      </c>
    </row>
    <row r="56" spans="1:7" ht="12.75" customHeight="1" x14ac:dyDescent="0.25">
      <c r="A56" s="92"/>
      <c r="B56" s="66" t="s">
        <v>133</v>
      </c>
      <c r="C56" s="113" t="s">
        <v>134</v>
      </c>
      <c r="D56" s="108">
        <v>19</v>
      </c>
      <c r="E56" s="22" t="s">
        <v>11</v>
      </c>
      <c r="F56" s="23"/>
      <c r="G56" s="93">
        <f t="shared" ref="G56" si="7">+F56*D56</f>
        <v>0</v>
      </c>
    </row>
    <row r="57" spans="1:7" ht="12.75" customHeight="1" x14ac:dyDescent="0.25">
      <c r="A57" s="70"/>
      <c r="B57" s="71">
        <v>7.1</v>
      </c>
      <c r="C57" s="59" t="s">
        <v>135</v>
      </c>
      <c r="D57" s="75"/>
      <c r="E57" s="65"/>
      <c r="F57" s="26"/>
      <c r="G57" s="39"/>
    </row>
    <row r="58" spans="1:7" ht="12.75" customHeight="1" x14ac:dyDescent="0.25">
      <c r="A58" s="130"/>
      <c r="B58" s="66" t="s">
        <v>136</v>
      </c>
      <c r="C58" s="112" t="s">
        <v>137</v>
      </c>
      <c r="D58" s="108">
        <v>24</v>
      </c>
      <c r="E58" s="22" t="s">
        <v>11</v>
      </c>
      <c r="F58" s="23"/>
      <c r="G58" s="93">
        <f>+F58*D58</f>
        <v>0</v>
      </c>
    </row>
    <row r="59" spans="1:7" ht="12.75" customHeight="1" x14ac:dyDescent="0.25">
      <c r="A59" s="92"/>
      <c r="B59" s="66" t="s">
        <v>138</v>
      </c>
      <c r="C59" s="112" t="s">
        <v>139</v>
      </c>
      <c r="D59" s="108">
        <v>30</v>
      </c>
      <c r="E59" s="22" t="s">
        <v>11</v>
      </c>
      <c r="F59" s="23"/>
      <c r="G59" s="93">
        <f>+F59*D59</f>
        <v>0</v>
      </c>
    </row>
    <row r="60" spans="1:7" ht="12.75" customHeight="1" x14ac:dyDescent="0.25">
      <c r="A60" s="70"/>
      <c r="B60" s="71">
        <v>7.11</v>
      </c>
      <c r="C60" s="114" t="s">
        <v>43</v>
      </c>
      <c r="D60" s="75">
        <v>1</v>
      </c>
      <c r="E60" s="65" t="s">
        <v>11</v>
      </c>
      <c r="F60" s="26"/>
      <c r="G60" s="39">
        <f t="shared" ref="G60:G62" si="8">+F60*D60</f>
        <v>0</v>
      </c>
    </row>
    <row r="61" spans="1:7" ht="12.75" customHeight="1" x14ac:dyDescent="0.25">
      <c r="A61" s="70"/>
      <c r="B61" s="24">
        <v>7.12</v>
      </c>
      <c r="C61" s="114" t="s">
        <v>44</v>
      </c>
      <c r="D61" s="75"/>
      <c r="E61" s="65" t="s">
        <v>11</v>
      </c>
      <c r="F61" s="26"/>
      <c r="G61" s="39">
        <f t="shared" si="8"/>
        <v>0</v>
      </c>
    </row>
    <row r="62" spans="1:7" ht="14.25" thickBot="1" x14ac:dyDescent="0.3">
      <c r="A62" s="81"/>
      <c r="B62" s="82" t="s">
        <v>140</v>
      </c>
      <c r="C62" s="115" t="s">
        <v>46</v>
      </c>
      <c r="D62" s="116">
        <v>1</v>
      </c>
      <c r="E62" s="80" t="s">
        <v>11</v>
      </c>
      <c r="F62" s="117"/>
      <c r="G62" s="84">
        <f t="shared" si="8"/>
        <v>0</v>
      </c>
    </row>
    <row r="63" spans="1:7" ht="27.75" thickBot="1" x14ac:dyDescent="0.3">
      <c r="A63" s="12">
        <v>8</v>
      </c>
      <c r="B63" s="14"/>
      <c r="C63" s="42" t="s">
        <v>141</v>
      </c>
      <c r="D63" s="73"/>
      <c r="E63" s="15"/>
      <c r="F63" s="16">
        <f>SUM(G64:G84)</f>
        <v>0</v>
      </c>
      <c r="G63" s="17"/>
    </row>
    <row r="64" spans="1:7" ht="15" customHeight="1" x14ac:dyDescent="0.25">
      <c r="A64" s="69"/>
      <c r="B64" s="68">
        <v>8.1</v>
      </c>
      <c r="C64" s="97" t="s">
        <v>15</v>
      </c>
      <c r="D64" s="98"/>
      <c r="E64" s="99"/>
      <c r="F64" s="100"/>
      <c r="G64" s="101"/>
    </row>
    <row r="65" spans="1:7" x14ac:dyDescent="0.25">
      <c r="A65" s="92"/>
      <c r="B65" s="66" t="s">
        <v>47</v>
      </c>
      <c r="C65" s="102" t="s">
        <v>59</v>
      </c>
      <c r="D65" s="103">
        <v>38</v>
      </c>
      <c r="E65" s="22" t="s">
        <v>9</v>
      </c>
      <c r="F65" s="23"/>
      <c r="G65" s="93">
        <f>+F65*D65</f>
        <v>0</v>
      </c>
    </row>
    <row r="66" spans="1:7" x14ac:dyDescent="0.25">
      <c r="A66" s="92"/>
      <c r="B66" s="66" t="s">
        <v>48</v>
      </c>
      <c r="C66" s="102" t="s">
        <v>142</v>
      </c>
      <c r="D66" s="103">
        <v>400</v>
      </c>
      <c r="E66" s="22" t="s">
        <v>9</v>
      </c>
      <c r="F66" s="23"/>
      <c r="G66" s="93">
        <f>+F66*D66</f>
        <v>0</v>
      </c>
    </row>
    <row r="67" spans="1:7" x14ac:dyDescent="0.25">
      <c r="A67" s="70"/>
      <c r="B67" s="24">
        <v>8.1999999999999993</v>
      </c>
      <c r="C67" s="77" t="s">
        <v>143</v>
      </c>
      <c r="D67" s="78"/>
      <c r="E67" s="79"/>
      <c r="F67" s="26"/>
      <c r="G67" s="25"/>
    </row>
    <row r="68" spans="1:7" x14ac:dyDescent="0.25">
      <c r="A68" s="92"/>
      <c r="B68" s="66" t="s">
        <v>49</v>
      </c>
      <c r="C68" s="102" t="s">
        <v>69</v>
      </c>
      <c r="D68" s="103">
        <v>6</v>
      </c>
      <c r="E68" s="22" t="s">
        <v>11</v>
      </c>
      <c r="F68" s="23"/>
      <c r="G68" s="93">
        <f t="shared" ref="G68" si="9">+F68*D68</f>
        <v>0</v>
      </c>
    </row>
    <row r="69" spans="1:7" x14ac:dyDescent="0.25">
      <c r="A69" s="92"/>
      <c r="B69" s="66" t="s">
        <v>50</v>
      </c>
      <c r="C69" s="102" t="s">
        <v>144</v>
      </c>
      <c r="D69" s="103">
        <v>2</v>
      </c>
      <c r="E69" s="22" t="s">
        <v>11</v>
      </c>
      <c r="F69" s="23"/>
      <c r="G69" s="93"/>
    </row>
    <row r="70" spans="1:7" x14ac:dyDescent="0.25">
      <c r="A70" s="104"/>
      <c r="B70" s="24">
        <v>8.3000000000000007</v>
      </c>
      <c r="C70" s="59" t="s">
        <v>145</v>
      </c>
      <c r="D70" s="78"/>
      <c r="E70" s="65"/>
      <c r="F70" s="38"/>
      <c r="G70" s="39"/>
    </row>
    <row r="71" spans="1:7" x14ac:dyDescent="0.25">
      <c r="A71" s="92"/>
      <c r="B71" s="66" t="s">
        <v>146</v>
      </c>
      <c r="C71" s="90" t="s">
        <v>75</v>
      </c>
      <c r="D71" s="85">
        <v>2</v>
      </c>
      <c r="E71" s="22" t="s">
        <v>11</v>
      </c>
      <c r="F71" s="105"/>
      <c r="G71" s="93">
        <f>+F71*D71</f>
        <v>0</v>
      </c>
    </row>
    <row r="72" spans="1:7" x14ac:dyDescent="0.25">
      <c r="A72" s="92"/>
      <c r="B72" s="66" t="s">
        <v>147</v>
      </c>
      <c r="C72" s="90" t="s">
        <v>20</v>
      </c>
      <c r="D72" s="85">
        <v>2</v>
      </c>
      <c r="E72" s="22" t="s">
        <v>11</v>
      </c>
      <c r="F72" s="105"/>
      <c r="G72" s="93">
        <f>+F72*D72</f>
        <v>0</v>
      </c>
    </row>
    <row r="73" spans="1:7" x14ac:dyDescent="0.25">
      <c r="A73" s="70"/>
      <c r="B73" s="24">
        <v>8.4</v>
      </c>
      <c r="C73" s="77" t="s">
        <v>40</v>
      </c>
      <c r="D73" s="78"/>
      <c r="E73" s="79"/>
      <c r="F73" s="26"/>
      <c r="G73" s="25"/>
    </row>
    <row r="74" spans="1:7" x14ac:dyDescent="0.25">
      <c r="A74" s="92"/>
      <c r="B74" s="66" t="s">
        <v>51</v>
      </c>
      <c r="C74" s="102" t="s">
        <v>148</v>
      </c>
      <c r="D74" s="103">
        <v>2</v>
      </c>
      <c r="E74" s="22"/>
      <c r="F74" s="118"/>
      <c r="G74" s="93"/>
    </row>
    <row r="75" spans="1:7" x14ac:dyDescent="0.25">
      <c r="A75" s="70"/>
      <c r="B75" s="40">
        <v>8.5</v>
      </c>
      <c r="C75" s="77" t="s">
        <v>94</v>
      </c>
      <c r="D75" s="78"/>
      <c r="E75" s="79"/>
      <c r="F75" s="26"/>
      <c r="G75" s="25"/>
    </row>
    <row r="76" spans="1:7" x14ac:dyDescent="0.25">
      <c r="A76" s="92"/>
      <c r="B76" s="66" t="s">
        <v>52</v>
      </c>
      <c r="C76" s="102" t="s">
        <v>149</v>
      </c>
      <c r="D76" s="103">
        <v>1</v>
      </c>
      <c r="E76" s="22" t="s">
        <v>11</v>
      </c>
      <c r="F76" s="23"/>
      <c r="G76" s="93">
        <f t="shared" ref="G76:G78" si="10">+F76*D76</f>
        <v>0</v>
      </c>
    </row>
    <row r="77" spans="1:7" x14ac:dyDescent="0.25">
      <c r="A77" s="92"/>
      <c r="B77" s="66" t="s">
        <v>150</v>
      </c>
      <c r="C77" s="102" t="s">
        <v>151</v>
      </c>
      <c r="D77" s="103">
        <v>2</v>
      </c>
      <c r="E77" s="22" t="s">
        <v>11</v>
      </c>
      <c r="F77" s="23"/>
      <c r="G77" s="93">
        <f t="shared" si="10"/>
        <v>0</v>
      </c>
    </row>
    <row r="78" spans="1:7" x14ac:dyDescent="0.25">
      <c r="A78" s="92"/>
      <c r="B78" s="66" t="s">
        <v>152</v>
      </c>
      <c r="C78" s="102" t="s">
        <v>112</v>
      </c>
      <c r="D78" s="103">
        <v>11</v>
      </c>
      <c r="E78" s="22" t="s">
        <v>11</v>
      </c>
      <c r="F78" s="23"/>
      <c r="G78" s="93">
        <f t="shared" si="10"/>
        <v>0</v>
      </c>
    </row>
    <row r="79" spans="1:7" x14ac:dyDescent="0.25">
      <c r="A79" s="70"/>
      <c r="B79" s="40">
        <v>8.6</v>
      </c>
      <c r="C79" s="111" t="s">
        <v>153</v>
      </c>
      <c r="D79" s="78"/>
      <c r="E79" s="79"/>
      <c r="F79" s="26"/>
      <c r="G79" s="25"/>
    </row>
    <row r="80" spans="1:7" x14ac:dyDescent="0.25">
      <c r="A80" s="92"/>
      <c r="B80" s="66" t="s">
        <v>154</v>
      </c>
      <c r="C80" s="113" t="s">
        <v>134</v>
      </c>
      <c r="D80" s="108">
        <v>13</v>
      </c>
      <c r="E80" s="22" t="s">
        <v>11</v>
      </c>
      <c r="F80" s="23"/>
      <c r="G80" s="93">
        <f t="shared" ref="G80" si="11">+F80*D80</f>
        <v>0</v>
      </c>
    </row>
    <row r="81" spans="1:7" ht="27" x14ac:dyDescent="0.25">
      <c r="A81" s="70"/>
      <c r="B81" s="40">
        <v>8.6999999999999993</v>
      </c>
      <c r="C81" s="59" t="s">
        <v>135</v>
      </c>
      <c r="D81" s="75"/>
      <c r="E81" s="65"/>
      <c r="F81" s="26"/>
      <c r="G81" s="39"/>
    </row>
    <row r="82" spans="1:7" x14ac:dyDescent="0.25">
      <c r="A82" s="130"/>
      <c r="B82" s="66" t="s">
        <v>155</v>
      </c>
      <c r="C82" s="112" t="s">
        <v>137</v>
      </c>
      <c r="D82" s="108">
        <v>3</v>
      </c>
      <c r="E82" s="22" t="s">
        <v>11</v>
      </c>
      <c r="F82" s="23"/>
      <c r="G82" s="93">
        <f>+F82*D82</f>
        <v>0</v>
      </c>
    </row>
    <row r="83" spans="1:7" x14ac:dyDescent="0.25">
      <c r="A83" s="92"/>
      <c r="B83" s="66" t="s">
        <v>156</v>
      </c>
      <c r="C83" s="112" t="s">
        <v>139</v>
      </c>
      <c r="D83" s="108">
        <v>10</v>
      </c>
      <c r="E83" s="22" t="s">
        <v>11</v>
      </c>
      <c r="F83" s="23"/>
      <c r="G83" s="93">
        <f>+F83*D83</f>
        <v>0</v>
      </c>
    </row>
    <row r="84" spans="1:7" ht="14.25" thickBot="1" x14ac:dyDescent="0.3">
      <c r="A84" s="119"/>
      <c r="B84" s="120">
        <v>8.8000000000000007</v>
      </c>
      <c r="C84" s="121" t="s">
        <v>43</v>
      </c>
      <c r="D84" s="122">
        <v>1</v>
      </c>
      <c r="E84" s="123" t="s">
        <v>11</v>
      </c>
      <c r="F84" s="124"/>
      <c r="G84" s="125">
        <f t="shared" ref="G84" si="12">+F84*D84</f>
        <v>0</v>
      </c>
    </row>
    <row r="85" spans="1:7" ht="27.75" thickBot="1" x14ac:dyDescent="0.3">
      <c r="A85" s="12">
        <v>9</v>
      </c>
      <c r="B85" s="14"/>
      <c r="C85" s="42" t="s">
        <v>157</v>
      </c>
      <c r="D85" s="73"/>
      <c r="E85" s="15"/>
      <c r="F85" s="16">
        <f>SUM(G86:G101)</f>
        <v>0</v>
      </c>
      <c r="G85" s="17"/>
    </row>
    <row r="86" spans="1:7" x14ac:dyDescent="0.25">
      <c r="A86" s="69"/>
      <c r="B86" s="68">
        <v>9.1</v>
      </c>
      <c r="C86" s="97" t="s">
        <v>15</v>
      </c>
      <c r="D86" s="98"/>
      <c r="E86" s="99"/>
      <c r="F86" s="100"/>
      <c r="G86" s="101"/>
    </row>
    <row r="87" spans="1:7" x14ac:dyDescent="0.25">
      <c r="A87" s="92"/>
      <c r="B87" s="66" t="s">
        <v>158</v>
      </c>
      <c r="C87" s="102" t="s">
        <v>17</v>
      </c>
      <c r="D87" s="85">
        <v>402</v>
      </c>
      <c r="E87" s="22" t="s">
        <v>9</v>
      </c>
      <c r="F87" s="106"/>
      <c r="G87" s="95">
        <f t="shared" ref="G87" si="13">+F87*D87</f>
        <v>0</v>
      </c>
    </row>
    <row r="88" spans="1:7" x14ac:dyDescent="0.25">
      <c r="A88" s="70"/>
      <c r="B88" s="24">
        <v>9.1999999999999993</v>
      </c>
      <c r="C88" s="77" t="s">
        <v>143</v>
      </c>
      <c r="D88" s="78"/>
      <c r="E88" s="79"/>
      <c r="F88" s="26"/>
      <c r="G88" s="25"/>
    </row>
    <row r="89" spans="1:7" x14ac:dyDescent="0.25">
      <c r="A89" s="92"/>
      <c r="B89" s="66" t="s">
        <v>159</v>
      </c>
      <c r="C89" s="102" t="s">
        <v>20</v>
      </c>
      <c r="D89" s="85">
        <v>7</v>
      </c>
      <c r="E89" s="22" t="s">
        <v>11</v>
      </c>
      <c r="F89" s="106"/>
      <c r="G89" s="95">
        <f t="shared" ref="G89:G90" si="14">+F89*D89</f>
        <v>0</v>
      </c>
    </row>
    <row r="90" spans="1:7" x14ac:dyDescent="0.25">
      <c r="A90" s="92"/>
      <c r="B90" s="66" t="s">
        <v>160</v>
      </c>
      <c r="C90" s="90" t="s">
        <v>161</v>
      </c>
      <c r="D90" s="85">
        <v>7</v>
      </c>
      <c r="E90" s="22" t="s">
        <v>11</v>
      </c>
      <c r="F90" s="106"/>
      <c r="G90" s="95">
        <f t="shared" si="14"/>
        <v>0</v>
      </c>
    </row>
    <row r="91" spans="1:7" x14ac:dyDescent="0.25">
      <c r="A91" s="70"/>
      <c r="B91" s="24">
        <v>9.3000000000000007</v>
      </c>
      <c r="C91" s="59" t="s">
        <v>145</v>
      </c>
      <c r="D91" s="78"/>
      <c r="E91" s="79"/>
      <c r="F91" s="26"/>
      <c r="G91" s="25"/>
    </row>
    <row r="92" spans="1:7" x14ac:dyDescent="0.25">
      <c r="A92" s="92"/>
      <c r="B92" s="66" t="s">
        <v>162</v>
      </c>
      <c r="C92" s="90" t="s">
        <v>20</v>
      </c>
      <c r="D92" s="85">
        <v>1</v>
      </c>
      <c r="E92" s="22" t="s">
        <v>11</v>
      </c>
      <c r="F92" s="126"/>
      <c r="G92" s="95">
        <f>+F92*D92</f>
        <v>0</v>
      </c>
    </row>
    <row r="93" spans="1:7" x14ac:dyDescent="0.25">
      <c r="A93" s="70"/>
      <c r="B93" s="24">
        <v>9.4</v>
      </c>
      <c r="C93" s="77" t="s">
        <v>163</v>
      </c>
      <c r="D93" s="78"/>
      <c r="E93" s="79"/>
      <c r="F93" s="26"/>
      <c r="G93" s="25"/>
    </row>
    <row r="94" spans="1:7" x14ac:dyDescent="0.25">
      <c r="A94" s="92"/>
      <c r="B94" s="66" t="s">
        <v>164</v>
      </c>
      <c r="C94" s="102" t="s">
        <v>29</v>
      </c>
      <c r="D94" s="85">
        <v>8</v>
      </c>
      <c r="E94" s="22" t="s">
        <v>11</v>
      </c>
      <c r="F94" s="106"/>
      <c r="G94" s="95">
        <f t="shared" ref="G94:G97" si="15">+F94*D94</f>
        <v>0</v>
      </c>
    </row>
    <row r="95" spans="1:7" x14ac:dyDescent="0.25">
      <c r="A95" s="92"/>
      <c r="B95" s="66" t="s">
        <v>165</v>
      </c>
      <c r="C95" s="102" t="s">
        <v>31</v>
      </c>
      <c r="D95" s="85">
        <v>4</v>
      </c>
      <c r="E95" s="22" t="s">
        <v>11</v>
      </c>
      <c r="F95" s="106"/>
      <c r="G95" s="95">
        <f t="shared" si="15"/>
        <v>0</v>
      </c>
    </row>
    <row r="96" spans="1:7" x14ac:dyDescent="0.25">
      <c r="A96" s="92"/>
      <c r="B96" s="66" t="s">
        <v>166</v>
      </c>
      <c r="C96" s="102" t="s">
        <v>167</v>
      </c>
      <c r="D96" s="85">
        <v>4</v>
      </c>
      <c r="E96" s="22" t="s">
        <v>11</v>
      </c>
      <c r="F96" s="106"/>
      <c r="G96" s="95">
        <f t="shared" si="15"/>
        <v>0</v>
      </c>
    </row>
    <row r="97" spans="1:7" x14ac:dyDescent="0.25">
      <c r="A97" s="92"/>
      <c r="B97" s="66" t="s">
        <v>168</v>
      </c>
      <c r="C97" s="102" t="s">
        <v>169</v>
      </c>
      <c r="D97" s="85">
        <v>2</v>
      </c>
      <c r="E97" s="22" t="s">
        <v>11</v>
      </c>
      <c r="F97" s="106"/>
      <c r="G97" s="95">
        <f t="shared" si="15"/>
        <v>0</v>
      </c>
    </row>
    <row r="98" spans="1:7" x14ac:dyDescent="0.25">
      <c r="A98" s="92"/>
      <c r="B98" s="66" t="s">
        <v>170</v>
      </c>
      <c r="C98" s="102" t="s">
        <v>37</v>
      </c>
      <c r="D98" s="94">
        <v>1</v>
      </c>
      <c r="E98" s="22" t="s">
        <v>11</v>
      </c>
      <c r="F98" s="106"/>
      <c r="G98" s="95">
        <f t="shared" ref="G98:G101" si="16">+F98*D98</f>
        <v>0</v>
      </c>
    </row>
    <row r="99" spans="1:7" x14ac:dyDescent="0.25">
      <c r="A99" s="70"/>
      <c r="B99" s="24">
        <v>9.5</v>
      </c>
      <c r="C99" s="59" t="s">
        <v>44</v>
      </c>
      <c r="D99" s="78"/>
      <c r="E99" s="79"/>
      <c r="F99" s="26"/>
      <c r="G99" s="25"/>
    </row>
    <row r="100" spans="1:7" x14ac:dyDescent="0.25">
      <c r="A100" s="92"/>
      <c r="B100" s="66" t="s">
        <v>171</v>
      </c>
      <c r="C100" s="112" t="s">
        <v>46</v>
      </c>
      <c r="D100" s="94">
        <v>1</v>
      </c>
      <c r="E100" s="22" t="s">
        <v>11</v>
      </c>
      <c r="F100" s="106"/>
      <c r="G100" s="95">
        <f t="shared" si="16"/>
        <v>0</v>
      </c>
    </row>
    <row r="101" spans="1:7" ht="14.25" thickBot="1" x14ac:dyDescent="0.3">
      <c r="A101" s="81"/>
      <c r="B101" s="82" t="s">
        <v>172</v>
      </c>
      <c r="C101" s="115" t="s">
        <v>173</v>
      </c>
      <c r="D101" s="127">
        <v>1</v>
      </c>
      <c r="E101" s="80" t="s">
        <v>11</v>
      </c>
      <c r="F101" s="83"/>
      <c r="G101" s="96">
        <f t="shared" si="16"/>
        <v>0</v>
      </c>
    </row>
    <row r="102" spans="1:7" x14ac:dyDescent="0.25">
      <c r="D102" s="1"/>
      <c r="F102" s="1"/>
      <c r="G102" s="1"/>
    </row>
    <row r="103" spans="1:7" x14ac:dyDescent="0.25">
      <c r="D103" s="1"/>
      <c r="F103" s="1"/>
      <c r="G103" s="1"/>
    </row>
    <row r="104" spans="1:7" x14ac:dyDescent="0.25">
      <c r="D104" s="1"/>
      <c r="F104" s="1"/>
      <c r="G104" s="1"/>
    </row>
    <row r="105" spans="1:7" x14ac:dyDescent="0.25">
      <c r="D105" s="1"/>
      <c r="F105" s="1"/>
      <c r="G105" s="1"/>
    </row>
    <row r="106" spans="1:7" x14ac:dyDescent="0.25">
      <c r="D106" s="1"/>
      <c r="F106" s="1"/>
      <c r="G106" s="1"/>
    </row>
    <row r="107" spans="1:7" x14ac:dyDescent="0.25">
      <c r="D107" s="1"/>
      <c r="F107" s="1"/>
      <c r="G107" s="1"/>
    </row>
    <row r="108" spans="1:7" x14ac:dyDescent="0.25">
      <c r="D108" s="1"/>
      <c r="F108" s="1"/>
      <c r="G108" s="1"/>
    </row>
    <row r="109" spans="1:7" x14ac:dyDescent="0.25">
      <c r="D109" s="1"/>
      <c r="F109" s="1"/>
      <c r="G109" s="1"/>
    </row>
    <row r="110" spans="1:7" x14ac:dyDescent="0.25">
      <c r="D110" s="1"/>
      <c r="F110" s="1"/>
      <c r="G110" s="1"/>
    </row>
  </sheetData>
  <mergeCells count="4">
    <mergeCell ref="A1:G1"/>
    <mergeCell ref="A2:G2"/>
    <mergeCell ref="B3:C3"/>
    <mergeCell ref="D3:E3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F517-FF5E-49C9-91F0-A8294199DC6D}">
  <sheetPr>
    <pageSetUpPr fitToPage="1"/>
  </sheetPr>
  <dimension ref="A1:G44"/>
  <sheetViews>
    <sheetView zoomScale="130" zoomScaleNormal="130" workbookViewId="0">
      <pane xSplit="7" ySplit="4" topLeftCell="H33" activePane="bottomRight" state="frozen"/>
      <selection pane="topRight" activeCell="G938" sqref="G938"/>
      <selection pane="bottomLeft" activeCell="G938" sqref="G938"/>
      <selection pane="bottomRight" activeCell="C44" sqref="C44"/>
    </sheetView>
  </sheetViews>
  <sheetFormatPr defaultColWidth="9.140625" defaultRowHeight="13.5" x14ac:dyDescent="0.25"/>
  <cols>
    <col min="1" max="1" width="3.140625" style="62" customWidth="1"/>
    <col min="2" max="2" width="8.7109375" style="62" customWidth="1"/>
    <col min="3" max="3" width="60.85546875" style="1" customWidth="1"/>
    <col min="4" max="4" width="10.28515625" style="76" customWidth="1"/>
    <col min="5" max="5" width="7.42578125" style="1" customWidth="1"/>
    <col min="6" max="6" width="12.7109375" style="63" bestFit="1" customWidth="1"/>
    <col min="7" max="7" width="12.7109375" style="61" customWidth="1"/>
    <col min="8" max="16384" width="9.140625" style="1"/>
  </cols>
  <sheetData>
    <row r="1" spans="1:7" ht="15.75" customHeight="1" thickBot="1" x14ac:dyDescent="0.3">
      <c r="A1" s="136" t="s">
        <v>0</v>
      </c>
      <c r="B1" s="137"/>
      <c r="C1" s="137"/>
      <c r="D1" s="137"/>
      <c r="E1" s="137"/>
      <c r="F1" s="137"/>
      <c r="G1" s="138"/>
    </row>
    <row r="2" spans="1:7" ht="15.75" customHeight="1" thickBot="1" x14ac:dyDescent="0.3">
      <c r="A2" s="133" t="s">
        <v>174</v>
      </c>
      <c r="B2" s="134"/>
      <c r="C2" s="134"/>
      <c r="D2" s="134"/>
      <c r="E2" s="134"/>
      <c r="F2" s="134"/>
      <c r="G2" s="135"/>
    </row>
    <row r="3" spans="1:7" ht="60.75" customHeight="1" thickBot="1" x14ac:dyDescent="0.3">
      <c r="A3" s="2"/>
      <c r="B3" s="131" t="s">
        <v>1</v>
      </c>
      <c r="C3" s="131"/>
      <c r="D3" s="132" t="s">
        <v>2</v>
      </c>
      <c r="E3" s="132"/>
      <c r="F3" s="3">
        <v>46204</v>
      </c>
      <c r="G3" s="4" t="s">
        <v>3</v>
      </c>
    </row>
    <row r="4" spans="1:7" ht="14.25" thickBot="1" x14ac:dyDescent="0.3">
      <c r="A4" s="5"/>
      <c r="B4" s="6"/>
      <c r="C4" s="7" t="s">
        <v>4</v>
      </c>
      <c r="D4" s="72" t="s">
        <v>5</v>
      </c>
      <c r="E4" s="9" t="s">
        <v>6</v>
      </c>
      <c r="F4" s="10" t="s">
        <v>7</v>
      </c>
      <c r="G4" s="11" t="s">
        <v>8</v>
      </c>
    </row>
    <row r="5" spans="1:7" ht="14.25" thickBot="1" x14ac:dyDescent="0.3">
      <c r="A5" s="12">
        <v>7</v>
      </c>
      <c r="B5" s="14"/>
      <c r="C5" s="42" t="s">
        <v>13</v>
      </c>
      <c r="D5" s="73"/>
      <c r="E5" s="15"/>
      <c r="F5" s="16">
        <f>SUM(G6:G37)</f>
        <v>0</v>
      </c>
      <c r="G5" s="17"/>
    </row>
    <row r="6" spans="1:7" x14ac:dyDescent="0.25">
      <c r="A6" s="69"/>
      <c r="B6" s="68">
        <v>7.1</v>
      </c>
      <c r="C6" s="97" t="s">
        <v>15</v>
      </c>
      <c r="D6" s="98"/>
      <c r="E6" s="99"/>
      <c r="F6" s="100"/>
      <c r="G6" s="101"/>
    </row>
    <row r="7" spans="1:7" x14ac:dyDescent="0.25">
      <c r="A7" s="92"/>
      <c r="B7" s="66" t="s">
        <v>56</v>
      </c>
      <c r="C7" s="102" t="s">
        <v>175</v>
      </c>
      <c r="D7" s="103">
        <v>80</v>
      </c>
      <c r="E7" s="22" t="s">
        <v>9</v>
      </c>
      <c r="F7" s="23"/>
      <c r="G7" s="93">
        <f t="shared" ref="G7:G9" si="0">+F7*D7</f>
        <v>0</v>
      </c>
    </row>
    <row r="8" spans="1:7" x14ac:dyDescent="0.25">
      <c r="A8" s="92"/>
      <c r="B8" s="66" t="s">
        <v>58</v>
      </c>
      <c r="C8" s="102" t="s">
        <v>176</v>
      </c>
      <c r="D8" s="103">
        <v>108</v>
      </c>
      <c r="E8" s="22" t="s">
        <v>9</v>
      </c>
      <c r="F8" s="23"/>
      <c r="G8" s="93"/>
    </row>
    <row r="9" spans="1:7" x14ac:dyDescent="0.25">
      <c r="A9" s="92"/>
      <c r="B9" s="66" t="s">
        <v>60</v>
      </c>
      <c r="C9" s="102" t="s">
        <v>59</v>
      </c>
      <c r="D9" s="103">
        <v>693</v>
      </c>
      <c r="E9" s="22" t="s">
        <v>9</v>
      </c>
      <c r="F9" s="23"/>
      <c r="G9" s="93">
        <f t="shared" si="0"/>
        <v>0</v>
      </c>
    </row>
    <row r="10" spans="1:7" x14ac:dyDescent="0.25">
      <c r="A10" s="70"/>
      <c r="B10" s="24">
        <v>7.2</v>
      </c>
      <c r="C10" s="77" t="s">
        <v>18</v>
      </c>
      <c r="D10" s="78"/>
      <c r="E10" s="79"/>
      <c r="F10" s="26"/>
      <c r="G10" s="25"/>
    </row>
    <row r="11" spans="1:7" x14ac:dyDescent="0.25">
      <c r="A11" s="92"/>
      <c r="B11" s="66" t="s">
        <v>64</v>
      </c>
      <c r="C11" s="102" t="s">
        <v>65</v>
      </c>
      <c r="D11" s="103">
        <v>10</v>
      </c>
      <c r="E11" s="22" t="s">
        <v>11</v>
      </c>
      <c r="F11" s="23"/>
      <c r="G11" s="93">
        <f t="shared" ref="G11" si="1">+F11*D11</f>
        <v>0</v>
      </c>
    </row>
    <row r="12" spans="1:7" x14ac:dyDescent="0.25">
      <c r="A12" s="70"/>
      <c r="B12" s="24">
        <v>7.3</v>
      </c>
      <c r="C12" s="77" t="s">
        <v>177</v>
      </c>
      <c r="D12" s="78"/>
      <c r="E12" s="79"/>
      <c r="F12" s="26"/>
      <c r="G12" s="25"/>
    </row>
    <row r="13" spans="1:7" ht="40.5" x14ac:dyDescent="0.25">
      <c r="A13" s="92"/>
      <c r="B13" s="66" t="s">
        <v>74</v>
      </c>
      <c r="C13" s="90" t="s">
        <v>178</v>
      </c>
      <c r="D13" s="103">
        <v>5</v>
      </c>
      <c r="E13" s="22" t="s">
        <v>11</v>
      </c>
      <c r="F13" s="23"/>
      <c r="G13" s="93"/>
    </row>
    <row r="14" spans="1:7" x14ac:dyDescent="0.25">
      <c r="A14" s="104"/>
      <c r="B14" s="24">
        <v>7.4</v>
      </c>
      <c r="C14" s="59" t="s">
        <v>23</v>
      </c>
      <c r="D14" s="78"/>
      <c r="E14" s="65"/>
      <c r="F14" s="38"/>
      <c r="G14" s="39"/>
    </row>
    <row r="15" spans="1:7" x14ac:dyDescent="0.25">
      <c r="A15" s="92"/>
      <c r="B15" s="66" t="s">
        <v>74</v>
      </c>
      <c r="C15" s="102" t="s">
        <v>75</v>
      </c>
      <c r="D15" s="85">
        <v>3</v>
      </c>
      <c r="E15" s="22" t="s">
        <v>11</v>
      </c>
      <c r="F15" s="23"/>
      <c r="G15" s="93">
        <f>+F15*D15</f>
        <v>0</v>
      </c>
    </row>
    <row r="16" spans="1:7" x14ac:dyDescent="0.25">
      <c r="A16" s="70"/>
      <c r="B16" s="24">
        <v>7.4</v>
      </c>
      <c r="C16" s="77" t="s">
        <v>40</v>
      </c>
      <c r="D16" s="78"/>
      <c r="E16" s="79"/>
      <c r="F16" s="26"/>
      <c r="G16" s="25"/>
    </row>
    <row r="17" spans="1:7" x14ac:dyDescent="0.25">
      <c r="A17" s="129"/>
      <c r="B17" s="66" t="s">
        <v>81</v>
      </c>
      <c r="C17" s="102" t="s">
        <v>179</v>
      </c>
      <c r="D17" s="103">
        <v>1</v>
      </c>
      <c r="E17" s="22" t="s">
        <v>11</v>
      </c>
      <c r="F17" s="106"/>
      <c r="G17" s="93">
        <f t="shared" ref="G17" si="2">+F17*D17</f>
        <v>0</v>
      </c>
    </row>
    <row r="18" spans="1:7" ht="12.75" customHeight="1" x14ac:dyDescent="0.25">
      <c r="A18" s="70"/>
      <c r="B18" s="40">
        <v>7.6</v>
      </c>
      <c r="C18" s="77" t="s">
        <v>94</v>
      </c>
      <c r="D18" s="78"/>
      <c r="E18" s="79"/>
      <c r="F18" s="26"/>
      <c r="G18" s="25"/>
    </row>
    <row r="19" spans="1:7" ht="12.75" customHeight="1" x14ac:dyDescent="0.25">
      <c r="A19" s="92"/>
      <c r="B19" s="66" t="s">
        <v>95</v>
      </c>
      <c r="C19" s="102" t="s">
        <v>96</v>
      </c>
      <c r="D19" s="103">
        <v>43</v>
      </c>
      <c r="E19" s="22" t="s">
        <v>11</v>
      </c>
      <c r="F19" s="23"/>
      <c r="G19" s="93">
        <f t="shared" ref="G19:G23" si="3">+F19*D19</f>
        <v>0</v>
      </c>
    </row>
    <row r="20" spans="1:7" x14ac:dyDescent="0.25">
      <c r="A20" s="92"/>
      <c r="B20" s="66" t="s">
        <v>97</v>
      </c>
      <c r="C20" s="102" t="s">
        <v>98</v>
      </c>
      <c r="D20" s="103">
        <v>2</v>
      </c>
      <c r="E20" s="22" t="s">
        <v>11</v>
      </c>
      <c r="F20" s="23"/>
      <c r="G20" s="93">
        <f t="shared" si="3"/>
        <v>0</v>
      </c>
    </row>
    <row r="21" spans="1:7" x14ac:dyDescent="0.25">
      <c r="A21" s="92"/>
      <c r="B21" s="66" t="s">
        <v>99</v>
      </c>
      <c r="C21" s="102" t="s">
        <v>180</v>
      </c>
      <c r="D21" s="103">
        <v>1</v>
      </c>
      <c r="E21" s="22" t="s">
        <v>11</v>
      </c>
      <c r="F21" s="23"/>
      <c r="G21" s="93">
        <f t="shared" si="3"/>
        <v>0</v>
      </c>
    </row>
    <row r="22" spans="1:7" x14ac:dyDescent="0.25">
      <c r="A22" s="92"/>
      <c r="B22" s="66" t="s">
        <v>101</v>
      </c>
      <c r="C22" s="102" t="s">
        <v>100</v>
      </c>
      <c r="D22" s="103">
        <v>5</v>
      </c>
      <c r="E22" s="22" t="s">
        <v>11</v>
      </c>
      <c r="F22" s="23"/>
      <c r="G22" s="93">
        <f t="shared" si="3"/>
        <v>0</v>
      </c>
    </row>
    <row r="23" spans="1:7" x14ac:dyDescent="0.25">
      <c r="A23" s="92"/>
      <c r="B23" s="66" t="s">
        <v>103</v>
      </c>
      <c r="C23" s="102" t="s">
        <v>181</v>
      </c>
      <c r="D23" s="103">
        <v>1</v>
      </c>
      <c r="E23" s="22" t="s">
        <v>11</v>
      </c>
      <c r="F23" s="23"/>
      <c r="G23" s="93">
        <f t="shared" si="3"/>
        <v>0</v>
      </c>
    </row>
    <row r="24" spans="1:7" x14ac:dyDescent="0.25">
      <c r="A24" s="70"/>
      <c r="B24" s="24">
        <v>7.7</v>
      </c>
      <c r="C24" s="77" t="s">
        <v>118</v>
      </c>
      <c r="D24" s="78"/>
      <c r="E24" s="79"/>
      <c r="F24" s="26"/>
      <c r="G24" s="39"/>
    </row>
    <row r="25" spans="1:7" x14ac:dyDescent="0.25">
      <c r="A25" s="92"/>
      <c r="B25" s="66" t="s">
        <v>119</v>
      </c>
      <c r="C25" s="102" t="s">
        <v>182</v>
      </c>
      <c r="D25" s="103">
        <v>2</v>
      </c>
      <c r="E25" s="22" t="s">
        <v>11</v>
      </c>
      <c r="F25" s="23"/>
      <c r="G25" s="93">
        <f t="shared" ref="G25" si="4">+F25*D25</f>
        <v>0</v>
      </c>
    </row>
    <row r="26" spans="1:7" ht="27" x14ac:dyDescent="0.25">
      <c r="A26" s="70"/>
      <c r="B26" s="24">
        <v>7.8</v>
      </c>
      <c r="C26" s="77" t="s">
        <v>121</v>
      </c>
      <c r="D26" s="78"/>
      <c r="E26" s="79"/>
      <c r="F26" s="26"/>
      <c r="G26" s="39"/>
    </row>
    <row r="27" spans="1:7" x14ac:dyDescent="0.25">
      <c r="A27" s="92"/>
      <c r="B27" s="66" t="s">
        <v>122</v>
      </c>
      <c r="C27" s="102" t="s">
        <v>123</v>
      </c>
      <c r="D27" s="103">
        <v>4</v>
      </c>
      <c r="E27" s="22" t="s">
        <v>11</v>
      </c>
      <c r="F27" s="106"/>
      <c r="G27" s="93">
        <f t="shared" ref="G27:G30" si="5">+F27*D27</f>
        <v>0</v>
      </c>
    </row>
    <row r="28" spans="1:7" x14ac:dyDescent="0.25">
      <c r="A28" s="92"/>
      <c r="B28" s="66" t="s">
        <v>124</v>
      </c>
      <c r="C28" s="102" t="s">
        <v>125</v>
      </c>
      <c r="D28" s="103">
        <v>4</v>
      </c>
      <c r="E28" s="22" t="s">
        <v>11</v>
      </c>
      <c r="F28" s="106"/>
      <c r="G28" s="93">
        <f t="shared" si="5"/>
        <v>0</v>
      </c>
    </row>
    <row r="29" spans="1:7" ht="27" x14ac:dyDescent="0.25">
      <c r="A29" s="70"/>
      <c r="B29" s="40">
        <v>7.9</v>
      </c>
      <c r="C29" s="111" t="s">
        <v>126</v>
      </c>
      <c r="D29" s="78"/>
      <c r="E29" s="79"/>
      <c r="F29" s="26"/>
      <c r="G29" s="25"/>
    </row>
    <row r="30" spans="1:7" x14ac:dyDescent="0.25">
      <c r="A30" s="92"/>
      <c r="B30" s="66" t="s">
        <v>127</v>
      </c>
      <c r="C30" s="112" t="s">
        <v>128</v>
      </c>
      <c r="D30" s="103">
        <v>4</v>
      </c>
      <c r="E30" s="22" t="s">
        <v>11</v>
      </c>
      <c r="F30" s="106"/>
      <c r="G30" s="93">
        <f t="shared" si="5"/>
        <v>0</v>
      </c>
    </row>
    <row r="31" spans="1:7" x14ac:dyDescent="0.25">
      <c r="A31" s="92"/>
      <c r="B31" s="66" t="s">
        <v>127</v>
      </c>
      <c r="C31" s="112" t="s">
        <v>130</v>
      </c>
      <c r="D31" s="108">
        <v>24</v>
      </c>
      <c r="E31" s="22" t="s">
        <v>11</v>
      </c>
      <c r="F31" s="23"/>
      <c r="G31" s="93">
        <f>+F31*D31</f>
        <v>0</v>
      </c>
    </row>
    <row r="32" spans="1:7" ht="27" x14ac:dyDescent="0.25">
      <c r="A32" s="70"/>
      <c r="B32" s="71">
        <v>7.1</v>
      </c>
      <c r="C32" s="59" t="s">
        <v>135</v>
      </c>
      <c r="D32" s="75"/>
      <c r="E32" s="65"/>
      <c r="F32" s="26"/>
      <c r="G32" s="39"/>
    </row>
    <row r="33" spans="1:7" x14ac:dyDescent="0.25">
      <c r="A33" s="130"/>
      <c r="B33" s="66" t="s">
        <v>136</v>
      </c>
      <c r="C33" s="112" t="s">
        <v>137</v>
      </c>
      <c r="D33" s="108">
        <v>13</v>
      </c>
      <c r="E33" s="22" t="s">
        <v>11</v>
      </c>
      <c r="F33" s="23"/>
      <c r="G33" s="93">
        <f>+F33*D33</f>
        <v>0</v>
      </c>
    </row>
    <row r="34" spans="1:7" x14ac:dyDescent="0.25">
      <c r="A34" s="92"/>
      <c r="B34" s="66" t="s">
        <v>138</v>
      </c>
      <c r="C34" s="112" t="s">
        <v>139</v>
      </c>
      <c r="D34" s="108">
        <v>11</v>
      </c>
      <c r="E34" s="22" t="s">
        <v>11</v>
      </c>
      <c r="F34" s="23"/>
      <c r="G34" s="93">
        <f>+F34*D34</f>
        <v>0</v>
      </c>
    </row>
    <row r="35" spans="1:7" x14ac:dyDescent="0.25">
      <c r="A35" s="70"/>
      <c r="B35" s="71">
        <v>7.11</v>
      </c>
      <c r="C35" s="114" t="s">
        <v>43</v>
      </c>
      <c r="D35" s="75">
        <v>1</v>
      </c>
      <c r="E35" s="65" t="s">
        <v>11</v>
      </c>
      <c r="F35" s="26"/>
      <c r="G35" s="39">
        <f t="shared" ref="G35:G37" si="6">+F35*D35</f>
        <v>0</v>
      </c>
    </row>
    <row r="36" spans="1:7" x14ac:dyDescent="0.25">
      <c r="A36" s="70"/>
      <c r="B36" s="24">
        <v>7.12</v>
      </c>
      <c r="C36" s="114" t="s">
        <v>44</v>
      </c>
      <c r="D36" s="75"/>
      <c r="E36" s="65" t="s">
        <v>11</v>
      </c>
      <c r="F36" s="26"/>
      <c r="G36" s="39">
        <f t="shared" si="6"/>
        <v>0</v>
      </c>
    </row>
    <row r="37" spans="1:7" ht="14.25" thickBot="1" x14ac:dyDescent="0.3">
      <c r="A37" s="81"/>
      <c r="B37" s="82" t="s">
        <v>140</v>
      </c>
      <c r="C37" s="115" t="s">
        <v>46</v>
      </c>
      <c r="D37" s="116">
        <v>1</v>
      </c>
      <c r="E37" s="80" t="s">
        <v>11</v>
      </c>
      <c r="F37" s="117"/>
      <c r="G37" s="84">
        <f t="shared" si="6"/>
        <v>0</v>
      </c>
    </row>
    <row r="39" spans="1:7" x14ac:dyDescent="0.25">
      <c r="D39" s="1"/>
      <c r="F39" s="1"/>
      <c r="G39" s="1"/>
    </row>
    <row r="40" spans="1:7" x14ac:dyDescent="0.25">
      <c r="D40" s="1"/>
      <c r="F40" s="1"/>
      <c r="G40" s="1"/>
    </row>
    <row r="41" spans="1:7" x14ac:dyDescent="0.25">
      <c r="D41" s="1"/>
      <c r="F41" s="1"/>
      <c r="G41" s="1"/>
    </row>
    <row r="42" spans="1:7" x14ac:dyDescent="0.25">
      <c r="D42" s="1"/>
      <c r="F42" s="1"/>
      <c r="G42" s="1"/>
    </row>
    <row r="43" spans="1:7" x14ac:dyDescent="0.25">
      <c r="D43" s="1"/>
      <c r="F43" s="1"/>
      <c r="G43" s="1"/>
    </row>
    <row r="44" spans="1:7" x14ac:dyDescent="0.25">
      <c r="D44" s="1"/>
      <c r="F44" s="1"/>
      <c r="G44" s="1"/>
    </row>
  </sheetData>
  <mergeCells count="4">
    <mergeCell ref="B3:C3"/>
    <mergeCell ref="D3:E3"/>
    <mergeCell ref="A2:G2"/>
    <mergeCell ref="A1:G1"/>
  </mergeCells>
  <phoneticPr fontId="3" type="noConversion"/>
  <pageMargins left="0.70866141732283472" right="0.31496062992125984" top="0.35433070866141736" bottom="0.35433070866141736" header="0" footer="0.19685039370078741"/>
  <pageSetup paperSize="8" fitToHeight="0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7206-0254-453D-97F1-025D022D128E}">
  <dimension ref="A1:AJ46"/>
  <sheetViews>
    <sheetView workbookViewId="0">
      <selection activeCell="G43" sqref="G43"/>
    </sheetView>
  </sheetViews>
  <sheetFormatPr defaultRowHeight="15" x14ac:dyDescent="0.25"/>
  <cols>
    <col min="1" max="1" width="14.28515625" bestFit="1" customWidth="1"/>
  </cols>
  <sheetData>
    <row r="1" spans="1:36" x14ac:dyDescent="0.25">
      <c r="A1" t="s">
        <v>183</v>
      </c>
      <c r="AJ1" t="s">
        <v>8</v>
      </c>
    </row>
    <row r="2" spans="1:36" x14ac:dyDescent="0.25">
      <c r="A2" t="s">
        <v>184</v>
      </c>
    </row>
    <row r="3" spans="1:36" x14ac:dyDescent="0.25">
      <c r="A3">
        <v>900</v>
      </c>
      <c r="B3">
        <v>13.554</v>
      </c>
      <c r="C3">
        <v>13.554</v>
      </c>
      <c r="D3">
        <v>40.08</v>
      </c>
      <c r="E3">
        <v>40.08</v>
      </c>
      <c r="F3">
        <v>5.9370000000000003</v>
      </c>
      <c r="G3">
        <v>4.6900000000000004</v>
      </c>
      <c r="AJ3">
        <f>SUM(B3:AI3)</f>
        <v>117.895</v>
      </c>
    </row>
    <row r="4" spans="1:36" x14ac:dyDescent="0.25">
      <c r="A4">
        <f>A3-75</f>
        <v>825</v>
      </c>
      <c r="B4">
        <v>37.573999999999998</v>
      </c>
      <c r="AJ4">
        <f t="shared" ref="AJ4:AJ46" si="0">SUM(B4:AI4)</f>
        <v>37.573999999999998</v>
      </c>
    </row>
    <row r="5" spans="1:36" x14ac:dyDescent="0.25">
      <c r="A5">
        <f t="shared" ref="A5:A10" si="1">A4-75</f>
        <v>750</v>
      </c>
      <c r="B5">
        <v>9.1829999999999998</v>
      </c>
      <c r="C5">
        <v>10.71</v>
      </c>
      <c r="AJ5">
        <f t="shared" si="0"/>
        <v>19.893000000000001</v>
      </c>
    </row>
    <row r="6" spans="1:36" x14ac:dyDescent="0.25">
      <c r="A6">
        <f t="shared" si="1"/>
        <v>675</v>
      </c>
      <c r="B6">
        <v>34.387999999999998</v>
      </c>
      <c r="AJ6">
        <f t="shared" si="0"/>
        <v>34.387999999999998</v>
      </c>
    </row>
    <row r="7" spans="1:36" x14ac:dyDescent="0.25">
      <c r="A7">
        <f t="shared" si="1"/>
        <v>600</v>
      </c>
      <c r="B7">
        <v>65.483999999999995</v>
      </c>
      <c r="C7">
        <v>16.376999999999999</v>
      </c>
      <c r="D7">
        <v>29.983000000000001</v>
      </c>
      <c r="E7">
        <v>27.611999999999998</v>
      </c>
      <c r="F7">
        <v>50.76</v>
      </c>
      <c r="G7">
        <v>24.759</v>
      </c>
      <c r="H7">
        <v>19.669</v>
      </c>
      <c r="I7">
        <v>20.382999999999999</v>
      </c>
      <c r="J7">
        <v>15.699</v>
      </c>
      <c r="K7">
        <v>13.27</v>
      </c>
      <c r="L7">
        <v>24.975000000000001</v>
      </c>
      <c r="AJ7">
        <f t="shared" si="0"/>
        <v>308.971</v>
      </c>
    </row>
    <row r="8" spans="1:36" x14ac:dyDescent="0.25">
      <c r="A8">
        <f t="shared" si="1"/>
        <v>525</v>
      </c>
      <c r="B8">
        <v>50.328000000000003</v>
      </c>
      <c r="C8">
        <v>47.872999999999998</v>
      </c>
      <c r="D8">
        <v>8.4659999999999993</v>
      </c>
      <c r="E8">
        <v>4.806</v>
      </c>
      <c r="F8">
        <v>41.83</v>
      </c>
      <c r="G8">
        <v>9.9749999999999996</v>
      </c>
      <c r="H8">
        <v>14.842000000000001</v>
      </c>
      <c r="I8">
        <v>45.832000000000001</v>
      </c>
      <c r="J8">
        <v>8.0109999999999992</v>
      </c>
      <c r="K8">
        <v>38.948999999999998</v>
      </c>
      <c r="L8">
        <v>40.508000000000003</v>
      </c>
      <c r="AJ8">
        <f t="shared" si="0"/>
        <v>311.41999999999996</v>
      </c>
    </row>
    <row r="9" spans="1:36" x14ac:dyDescent="0.25">
      <c r="A9">
        <f>A8-75</f>
        <v>450</v>
      </c>
      <c r="B9">
        <v>36.277000000000001</v>
      </c>
      <c r="C9">
        <v>13.487</v>
      </c>
      <c r="D9">
        <v>41.976999999999997</v>
      </c>
      <c r="E9">
        <v>43.162999999999997</v>
      </c>
      <c r="F9">
        <v>28.614999999999998</v>
      </c>
      <c r="AJ9">
        <f t="shared" si="0"/>
        <v>163.51900000000001</v>
      </c>
    </row>
    <row r="10" spans="1:36" x14ac:dyDescent="0.25">
      <c r="A10">
        <f t="shared" si="1"/>
        <v>375</v>
      </c>
      <c r="B10">
        <v>13.692</v>
      </c>
      <c r="C10">
        <v>11.138999999999999</v>
      </c>
      <c r="D10">
        <v>11.359</v>
      </c>
      <c r="E10">
        <v>10.007</v>
      </c>
      <c r="F10">
        <v>34.558</v>
      </c>
      <c r="G10">
        <v>9.3330000000000002</v>
      </c>
      <c r="H10">
        <v>28.373999999999999</v>
      </c>
      <c r="I10">
        <v>14.340999999999999</v>
      </c>
      <c r="J10">
        <v>12.225</v>
      </c>
      <c r="K10">
        <v>9.6869999999999994</v>
      </c>
      <c r="L10">
        <v>8.0109999999999992</v>
      </c>
      <c r="M10">
        <v>28.181999999999999</v>
      </c>
      <c r="N10">
        <v>22.651</v>
      </c>
      <c r="O10">
        <v>22.516999999999999</v>
      </c>
      <c r="P10">
        <v>9.5990000000000002</v>
      </c>
      <c r="Q10">
        <v>9.6029999999999998</v>
      </c>
      <c r="R10">
        <v>31.123999999999999</v>
      </c>
      <c r="S10">
        <v>12.83</v>
      </c>
      <c r="T10">
        <v>10.631</v>
      </c>
      <c r="U10">
        <v>9.7910000000000004</v>
      </c>
      <c r="V10">
        <v>9.0389999999999997</v>
      </c>
      <c r="W10">
        <v>9.9350000000000005</v>
      </c>
      <c r="X10">
        <v>20.635000000000002</v>
      </c>
      <c r="Y10">
        <v>28.166</v>
      </c>
      <c r="Z10">
        <v>18.984999999999999</v>
      </c>
      <c r="AA10">
        <v>12.132999999999999</v>
      </c>
      <c r="AB10">
        <v>40.671999999999997</v>
      </c>
      <c r="AC10">
        <v>40.82</v>
      </c>
      <c r="AD10">
        <v>11.606</v>
      </c>
      <c r="AE10">
        <v>38.363</v>
      </c>
      <c r="AF10">
        <v>8.0310000000000006</v>
      </c>
      <c r="AG10">
        <v>13.714</v>
      </c>
      <c r="AH10">
        <v>12.742000000000001</v>
      </c>
      <c r="AJ10">
        <f t="shared" si="0"/>
        <v>584.49499999999989</v>
      </c>
    </row>
    <row r="12" spans="1:36" x14ac:dyDescent="0.25">
      <c r="A12" t="s">
        <v>185</v>
      </c>
    </row>
    <row r="13" spans="1:36" x14ac:dyDescent="0.25">
      <c r="A13">
        <v>300</v>
      </c>
      <c r="B13">
        <v>13.042999999999999</v>
      </c>
      <c r="C13">
        <v>34.027999999999999</v>
      </c>
      <c r="D13">
        <v>22.356999999999999</v>
      </c>
      <c r="E13">
        <v>56.006999999999998</v>
      </c>
      <c r="F13">
        <v>35.213999999999999</v>
      </c>
      <c r="G13">
        <v>25</v>
      </c>
      <c r="H13">
        <v>25.01</v>
      </c>
      <c r="I13">
        <v>11.938000000000001</v>
      </c>
      <c r="J13">
        <v>27.773</v>
      </c>
      <c r="AJ13">
        <f t="shared" si="0"/>
        <v>250.36999999999998</v>
      </c>
    </row>
    <row r="14" spans="1:36" x14ac:dyDescent="0.25">
      <c r="A14">
        <v>225</v>
      </c>
      <c r="B14">
        <v>9.8970000000000002</v>
      </c>
      <c r="C14">
        <v>8.8239999999999998</v>
      </c>
      <c r="D14">
        <v>43.426000000000002</v>
      </c>
      <c r="E14">
        <v>4.0720000000000001</v>
      </c>
      <c r="F14">
        <v>27</v>
      </c>
      <c r="G14">
        <v>6.6589999999999998</v>
      </c>
      <c r="H14">
        <v>7.3769999999999998</v>
      </c>
      <c r="I14">
        <v>26.975999999999999</v>
      </c>
      <c r="AJ14">
        <f t="shared" si="0"/>
        <v>134.23099999999999</v>
      </c>
    </row>
    <row r="15" spans="1:36" x14ac:dyDescent="0.25">
      <c r="A15">
        <v>200</v>
      </c>
      <c r="B15">
        <v>27.146000000000001</v>
      </c>
      <c r="C15">
        <v>25.327000000000002</v>
      </c>
      <c r="D15">
        <v>35.350999999999999</v>
      </c>
      <c r="E15">
        <v>35.045000000000002</v>
      </c>
      <c r="AJ15">
        <f t="shared" si="0"/>
        <v>122.869</v>
      </c>
    </row>
    <row r="16" spans="1:36" x14ac:dyDescent="0.25">
      <c r="A16">
        <v>150</v>
      </c>
      <c r="B16">
        <v>23.143999999999998</v>
      </c>
      <c r="C16">
        <v>46.863</v>
      </c>
      <c r="D16">
        <v>31.318000000000001</v>
      </c>
      <c r="E16">
        <v>25.004999999999999</v>
      </c>
      <c r="AJ16">
        <f t="shared" si="0"/>
        <v>126.33</v>
      </c>
    </row>
    <row r="17" spans="1:36" x14ac:dyDescent="0.25">
      <c r="A17">
        <v>100</v>
      </c>
      <c r="B17">
        <v>31.155999999999999</v>
      </c>
      <c r="AJ17">
        <f t="shared" si="0"/>
        <v>31.155999999999999</v>
      </c>
    </row>
    <row r="23" spans="1:36" x14ac:dyDescent="0.25">
      <c r="A23" t="s">
        <v>186</v>
      </c>
    </row>
    <row r="24" spans="1:36" x14ac:dyDescent="0.25">
      <c r="A24" t="s">
        <v>184</v>
      </c>
    </row>
    <row r="25" spans="1:36" x14ac:dyDescent="0.25">
      <c r="A25">
        <v>900</v>
      </c>
    </row>
    <row r="26" spans="1:36" x14ac:dyDescent="0.25">
      <c r="A26">
        <f>A25-75</f>
        <v>825</v>
      </c>
    </row>
    <row r="27" spans="1:36" x14ac:dyDescent="0.25">
      <c r="A27">
        <f t="shared" ref="A27:A30" si="2">A26-75</f>
        <v>750</v>
      </c>
      <c r="B27">
        <v>88.331999999999994</v>
      </c>
      <c r="C27">
        <v>50.213999999999999</v>
      </c>
      <c r="D27">
        <v>13.211</v>
      </c>
      <c r="E27">
        <v>30.077000000000002</v>
      </c>
      <c r="F27">
        <v>14.417</v>
      </c>
      <c r="G27">
        <v>14.417</v>
      </c>
      <c r="H27">
        <v>41.866999999999997</v>
      </c>
      <c r="AJ27">
        <f t="shared" si="0"/>
        <v>252.535</v>
      </c>
    </row>
    <row r="28" spans="1:36" x14ac:dyDescent="0.25">
      <c r="A28">
        <f t="shared" si="2"/>
        <v>675</v>
      </c>
    </row>
    <row r="29" spans="1:36" x14ac:dyDescent="0.25">
      <c r="A29">
        <f t="shared" si="2"/>
        <v>600</v>
      </c>
      <c r="B29">
        <v>9.7680000000000007</v>
      </c>
      <c r="C29">
        <v>9.7680000000000007</v>
      </c>
      <c r="D29">
        <v>10.35</v>
      </c>
      <c r="E29">
        <v>10.35</v>
      </c>
      <c r="F29">
        <v>8.7590000000000003</v>
      </c>
      <c r="G29">
        <v>8.7590000000000003</v>
      </c>
      <c r="H29">
        <v>16.515999999999998</v>
      </c>
      <c r="I29">
        <v>28.535</v>
      </c>
      <c r="J29">
        <v>28.117999999999999</v>
      </c>
      <c r="K29">
        <v>41.502000000000002</v>
      </c>
      <c r="L29">
        <v>7.7569999999999997</v>
      </c>
      <c r="M29">
        <v>7.7569999999999997</v>
      </c>
      <c r="N29">
        <v>8.01</v>
      </c>
      <c r="O29">
        <v>8.01</v>
      </c>
      <c r="AJ29">
        <f t="shared" si="0"/>
        <v>203.959</v>
      </c>
    </row>
    <row r="30" spans="1:36" x14ac:dyDescent="0.25">
      <c r="A30">
        <f t="shared" si="2"/>
        <v>525</v>
      </c>
      <c r="B30">
        <v>44.728999999999999</v>
      </c>
      <c r="AJ30">
        <f t="shared" si="0"/>
        <v>44.728999999999999</v>
      </c>
    </row>
    <row r="31" spans="1:36" x14ac:dyDescent="0.25">
      <c r="A31">
        <f>A30-75</f>
        <v>450</v>
      </c>
      <c r="B31">
        <v>8.0640000000000001</v>
      </c>
      <c r="C31">
        <v>37.595999999999997</v>
      </c>
      <c r="D31">
        <v>10.603999999999999</v>
      </c>
      <c r="E31">
        <v>8.1419999999999995</v>
      </c>
      <c r="F31">
        <v>41.323</v>
      </c>
      <c r="G31">
        <v>12.202999999999999</v>
      </c>
      <c r="H31">
        <v>12.202999999999999</v>
      </c>
      <c r="I31">
        <v>12.202999999999999</v>
      </c>
      <c r="J31">
        <v>7.06</v>
      </c>
      <c r="K31">
        <v>7.06</v>
      </c>
      <c r="L31">
        <v>7.06</v>
      </c>
      <c r="M31">
        <v>4.6980000000000004</v>
      </c>
      <c r="N31">
        <v>4.6980000000000004</v>
      </c>
      <c r="O31">
        <v>4.6980000000000004</v>
      </c>
      <c r="AJ31">
        <f t="shared" si="0"/>
        <v>177.61200000000002</v>
      </c>
    </row>
    <row r="32" spans="1:36" x14ac:dyDescent="0.25">
      <c r="A32">
        <f t="shared" ref="A32" si="3">A31-75</f>
        <v>375</v>
      </c>
      <c r="B32">
        <v>62.41</v>
      </c>
      <c r="C32">
        <v>10.225</v>
      </c>
      <c r="D32">
        <v>7.9619999999999997</v>
      </c>
      <c r="E32">
        <v>45.097999999999999</v>
      </c>
      <c r="F32">
        <v>19.937000000000001</v>
      </c>
      <c r="G32">
        <v>8.1370000000000005</v>
      </c>
      <c r="H32">
        <v>12.88</v>
      </c>
      <c r="I32">
        <v>8.032</v>
      </c>
      <c r="J32">
        <v>21.536000000000001</v>
      </c>
      <c r="K32">
        <v>44.600999999999999</v>
      </c>
      <c r="L32">
        <v>28.324000000000002</v>
      </c>
      <c r="M32">
        <v>8.1150000000000002</v>
      </c>
      <c r="N32">
        <v>9.6029999999999998</v>
      </c>
      <c r="O32">
        <v>56.758000000000003</v>
      </c>
      <c r="P32">
        <v>50.26</v>
      </c>
      <c r="Q32">
        <v>7.6580000000000004</v>
      </c>
      <c r="R32">
        <v>15.920999999999999</v>
      </c>
      <c r="S32">
        <v>39.47</v>
      </c>
      <c r="T32">
        <v>8.8710000000000004</v>
      </c>
      <c r="AJ32">
        <f t="shared" si="0"/>
        <v>465.798</v>
      </c>
    </row>
    <row r="34" spans="1:36" x14ac:dyDescent="0.25">
      <c r="A34" t="s">
        <v>185</v>
      </c>
    </row>
    <row r="35" spans="1:36" x14ac:dyDescent="0.25">
      <c r="A35">
        <v>300</v>
      </c>
      <c r="B35">
        <v>16.448</v>
      </c>
      <c r="C35">
        <v>3.9089999999999998</v>
      </c>
      <c r="D35">
        <v>16.603999999999999</v>
      </c>
      <c r="E35">
        <v>18.198</v>
      </c>
      <c r="AJ35">
        <f t="shared" si="0"/>
        <v>55.158999999999999</v>
      </c>
    </row>
    <row r="36" spans="1:36" x14ac:dyDescent="0.25">
      <c r="A36">
        <v>225</v>
      </c>
      <c r="B36">
        <v>6.5129999999999999</v>
      </c>
      <c r="C36">
        <v>39.912999999999997</v>
      </c>
      <c r="D36">
        <v>22.452000000000002</v>
      </c>
      <c r="E36">
        <v>18.341999999999999</v>
      </c>
      <c r="F36">
        <v>20.518000000000001</v>
      </c>
      <c r="G36">
        <v>26.606999999999999</v>
      </c>
      <c r="H36">
        <v>20.88</v>
      </c>
      <c r="I36">
        <v>17.294</v>
      </c>
      <c r="J36">
        <v>7.056</v>
      </c>
      <c r="K36">
        <v>34.636000000000003</v>
      </c>
      <c r="L36">
        <v>9.0310000000000006</v>
      </c>
      <c r="M36">
        <v>3.226</v>
      </c>
      <c r="N36">
        <v>18.678999999999998</v>
      </c>
      <c r="O36">
        <v>21.242000000000001</v>
      </c>
      <c r="P36">
        <v>24.117000000000001</v>
      </c>
      <c r="Q36">
        <v>25.471</v>
      </c>
      <c r="R36">
        <v>9.3879999999999999</v>
      </c>
      <c r="AJ36">
        <f t="shared" si="0"/>
        <v>325.36500000000001</v>
      </c>
    </row>
    <row r="37" spans="1:36" x14ac:dyDescent="0.25">
      <c r="A37">
        <v>200</v>
      </c>
      <c r="B37">
        <v>20.306999999999999</v>
      </c>
      <c r="C37">
        <v>20.177</v>
      </c>
      <c r="AJ37">
        <f t="shared" si="0"/>
        <v>40.483999999999995</v>
      </c>
    </row>
    <row r="38" spans="1:36" x14ac:dyDescent="0.25">
      <c r="A38">
        <v>150</v>
      </c>
      <c r="B38">
        <v>20.257000000000001</v>
      </c>
      <c r="C38">
        <v>25.068999999999999</v>
      </c>
      <c r="AJ38">
        <f t="shared" si="0"/>
        <v>45.326000000000001</v>
      </c>
    </row>
    <row r="43" spans="1:36" x14ac:dyDescent="0.25">
      <c r="A43" t="s">
        <v>187</v>
      </c>
    </row>
    <row r="44" spans="1:36" x14ac:dyDescent="0.25">
      <c r="A44">
        <v>750</v>
      </c>
      <c r="B44">
        <v>17.341999999999999</v>
      </c>
      <c r="AJ44">
        <f t="shared" si="0"/>
        <v>17.341999999999999</v>
      </c>
    </row>
    <row r="45" spans="1:36" x14ac:dyDescent="0.25">
      <c r="A45">
        <v>675</v>
      </c>
      <c r="B45">
        <v>41.930999999999997</v>
      </c>
      <c r="C45">
        <v>16.337</v>
      </c>
      <c r="AJ45">
        <f t="shared" si="0"/>
        <v>58.268000000000001</v>
      </c>
    </row>
    <row r="46" spans="1:36" x14ac:dyDescent="0.25">
      <c r="A46">
        <v>375</v>
      </c>
      <c r="B46">
        <v>23.687000000000001</v>
      </c>
      <c r="C46">
        <v>11.131</v>
      </c>
      <c r="AJ46">
        <f t="shared" si="0"/>
        <v>34.817999999999998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D5692-D728-4D99-AAA2-F089CB40C610}"/>
</file>

<file path=customXml/itemProps2.xml><?xml version="1.0" encoding="utf-8"?>
<ds:datastoreItem xmlns:ds="http://schemas.openxmlformats.org/officeDocument/2006/customXml" ds:itemID="{B2AEDB03-ADAC-4E76-9147-3BD05A3E43B5}">
  <ds:schemaRefs>
    <ds:schemaRef ds:uri="http://schemas.microsoft.com/office/2006/metadata/properties"/>
    <ds:schemaRef ds:uri="http://schemas.microsoft.com/office/infopath/2007/PartnerControls"/>
    <ds:schemaRef ds:uri="ae7b334c-a941-4f8a-ba03-734a9c809466"/>
    <ds:schemaRef ds:uri="69b8687d-b3f5-4f0a-925b-1dc56e2d2afc"/>
  </ds:schemaRefs>
</ds:datastoreItem>
</file>

<file path=customXml/itemProps3.xml><?xml version="1.0" encoding="utf-8"?>
<ds:datastoreItem xmlns:ds="http://schemas.openxmlformats.org/officeDocument/2006/customXml" ds:itemID="{43AAA704-14F2-47E8-8F41-685AFF8313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Trunk Rd C  </vt:lpstr>
      <vt:lpstr>ST 1,2 RES BOQ </vt:lpstr>
      <vt:lpstr>ST 3,4,5,6 RES BOQ  </vt:lpstr>
      <vt:lpstr>stormwater pipe calcs</vt:lpstr>
      <vt:lpstr>'ST 1,2 RES BOQ '!Print_Area</vt:lpstr>
      <vt:lpstr>'ST 3,4,5,6 RES BOQ  '!Print_Area</vt:lpstr>
      <vt:lpstr>'Trunk Rd C  '!Print_Area</vt:lpstr>
      <vt:lpstr>'ST 1,2 RES BOQ '!Print_Titles</vt:lpstr>
      <vt:lpstr>'ST 3,4,5,6 RES BOQ  '!Print_Titles</vt:lpstr>
      <vt:lpstr>'Trunk Rd C 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graham</dc:creator>
  <cp:keywords/>
  <dc:description/>
  <cp:lastModifiedBy>Chris Abad | McIntosh Civil</cp:lastModifiedBy>
  <cp:revision/>
  <dcterms:created xsi:type="dcterms:W3CDTF">2013-06-26T22:07:02Z</dcterms:created>
  <dcterms:modified xsi:type="dcterms:W3CDTF">2026-07-14T13:02:29Z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MediaServiceImageTags">
    <vt:lpwstr/>
  </property>
</Properties>
</file>