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tricoreplumbing-my.sharepoint.com/personal/mitch_tricoreplumbing_com_au/Documents/Documents/GitHub/Limestone Yeppoon/"/>
    </mc:Choice>
  </mc:AlternateContent>
  <xr:revisionPtr revIDLastSave="17" documentId="8_{4D9A5A3B-7A5F-48BD-AD6B-88161773FEAE}" xr6:coauthVersionLast="47" xr6:coauthVersionMax="47" xr10:uidLastSave="{38DD0405-2A4F-4AED-A995-AA927D3E4531}"/>
  <bookViews>
    <workbookView xWindow="-108" yWindow="-108" windowWidth="30936" windowHeight="12576" tabRatio="500" activeTab="6" xr2:uid="{00000000-000D-0000-FFFF-FFFF00000000}"/>
  </bookViews>
  <sheets>
    <sheet name="READ ME" sheetId="1" r:id="rId1"/>
    <sheet name="Summary" sheetId="2" r:id="rId2"/>
    <sheet name="Rate Library" sheetId="3" r:id="rId3"/>
    <sheet name="Rate Buildups" sheetId="4" r:id="rId4"/>
    <sheet name="Material Rate Register" sheetId="5" r:id="rId5"/>
    <sheet name="ST 1,2 RES BOQ " sheetId="6" r:id="rId6"/>
    <sheet name="ST 3,4,5,6 RES BOQ  " sheetId="7" r:id="rId7"/>
    <sheet name="stormwater pipe calcs" sheetId="8" state="hidden" r:id="rId8"/>
  </sheets>
  <definedNames>
    <definedName name="_xlnm.Print_Area" localSheetId="5">'ST 1,2 RES BOQ '!$A$3:$G$34</definedName>
    <definedName name="_xlnm.Print_Area" localSheetId="6">'ST 3,4,5,6 RES BOQ  '!$A$3:$G$32</definedName>
    <definedName name="_xlnm.Print_Titles" localSheetId="5">'ST 1,2 RES BOQ '!$3:$4</definedName>
    <definedName name="_xlnm.Print_Titles" localSheetId="6">'ST 3,4,5,6 RES BOQ  '!$3:$4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44" i="3" l="1"/>
  <c r="AJ46" i="8" l="1"/>
  <c r="AJ45" i="8"/>
  <c r="AJ44" i="8"/>
  <c r="AJ38" i="8"/>
  <c r="AJ37" i="8"/>
  <c r="AJ36" i="8"/>
  <c r="AJ35" i="8"/>
  <c r="AJ32" i="8"/>
  <c r="AJ31" i="8"/>
  <c r="AJ30" i="8"/>
  <c r="AJ29" i="8"/>
  <c r="AJ27" i="8"/>
  <c r="A26" i="8"/>
  <c r="A27" i="8" s="1"/>
  <c r="A28" i="8" s="1"/>
  <c r="A29" i="8" s="1"/>
  <c r="A30" i="8" s="1"/>
  <c r="A31" i="8" s="1"/>
  <c r="A32" i="8" s="1"/>
  <c r="AJ17" i="8"/>
  <c r="AJ16" i="8"/>
  <c r="AJ15" i="8"/>
  <c r="AJ14" i="8"/>
  <c r="AJ13" i="8"/>
  <c r="AJ10" i="8"/>
  <c r="AJ9" i="8"/>
  <c r="AJ8" i="8"/>
  <c r="AJ7" i="8"/>
  <c r="AJ6" i="8"/>
  <c r="AJ5" i="8"/>
  <c r="AJ4" i="8"/>
  <c r="A4" i="8"/>
  <c r="A5" i="8" s="1"/>
  <c r="A6" i="8" s="1"/>
  <c r="A7" i="8" s="1"/>
  <c r="A8" i="8" s="1"/>
  <c r="A9" i="8" s="1"/>
  <c r="A10" i="8" s="1"/>
  <c r="AJ3" i="8"/>
  <c r="F32" i="7"/>
  <c r="G32" i="7" s="1"/>
  <c r="F31" i="7"/>
  <c r="G31" i="7" s="1"/>
  <c r="G18" i="7"/>
  <c r="G20" i="6"/>
  <c r="M35" i="4"/>
  <c r="M34" i="4"/>
  <c r="M33" i="4"/>
  <c r="F30" i="7" s="1"/>
  <c r="G30" i="7" s="1"/>
  <c r="M32" i="4"/>
  <c r="F34" i="6" s="1"/>
  <c r="G34" i="6" s="1"/>
  <c r="M31" i="4"/>
  <c r="F33" i="6" s="1"/>
  <c r="G33" i="6" s="1"/>
  <c r="M30" i="4"/>
  <c r="F32" i="6" s="1"/>
  <c r="G32" i="6" s="1"/>
  <c r="H21" i="4"/>
  <c r="G21" i="4"/>
  <c r="E21" i="4"/>
  <c r="F21" i="4" s="1"/>
  <c r="I21" i="4" s="1"/>
  <c r="H20" i="4"/>
  <c r="G20" i="4"/>
  <c r="E20" i="4"/>
  <c r="F20" i="4" s="1"/>
  <c r="I20" i="4" s="1"/>
  <c r="H19" i="4"/>
  <c r="G19" i="4"/>
  <c r="H18" i="4"/>
  <c r="G18" i="4"/>
  <c r="H17" i="4"/>
  <c r="G17" i="4"/>
  <c r="H16" i="4"/>
  <c r="G16" i="4"/>
  <c r="H15" i="4"/>
  <c r="G15" i="4"/>
  <c r="E15" i="4"/>
  <c r="F15" i="4" s="1"/>
  <c r="I15" i="4" s="1"/>
  <c r="H14" i="4"/>
  <c r="G14" i="4"/>
  <c r="E14" i="4"/>
  <c r="F14" i="4" s="1"/>
  <c r="I14" i="4" s="1"/>
  <c r="J14" i="4" s="1"/>
  <c r="H13" i="4"/>
  <c r="E13" i="4"/>
  <c r="F13" i="4" s="1"/>
  <c r="I13" i="4" s="1"/>
  <c r="H12" i="4"/>
  <c r="G12" i="4"/>
  <c r="E12" i="4"/>
  <c r="F12" i="4" s="1"/>
  <c r="I12" i="4" s="1"/>
  <c r="H11" i="4"/>
  <c r="E10" i="4"/>
  <c r="F10" i="4" s="1"/>
  <c r="I10" i="4" s="1"/>
  <c r="H9" i="4"/>
  <c r="G9" i="4"/>
  <c r="F9" i="4"/>
  <c r="I9" i="4" s="1"/>
  <c r="H8" i="4"/>
  <c r="G8" i="4"/>
  <c r="H7" i="4"/>
  <c r="G7" i="4"/>
  <c r="H6" i="4"/>
  <c r="G6" i="4"/>
  <c r="H5" i="4"/>
  <c r="G5" i="4"/>
  <c r="B46" i="3"/>
  <c r="B30" i="3" s="1"/>
  <c r="G13" i="4" s="1"/>
  <c r="B45" i="3"/>
  <c r="B29" i="3" s="1"/>
  <c r="B28" i="3"/>
  <c r="G11" i="4" s="1"/>
  <c r="B22" i="3"/>
  <c r="E19" i="4" s="1"/>
  <c r="F19" i="4" s="1"/>
  <c r="I19" i="4" s="1"/>
  <c r="B21" i="3"/>
  <c r="E9" i="4" s="1"/>
  <c r="J10" i="4" l="1"/>
  <c r="K10" i="4" s="1"/>
  <c r="K19" i="4"/>
  <c r="J19" i="4"/>
  <c r="J12" i="4"/>
  <c r="K12" i="4"/>
  <c r="J21" i="4"/>
  <c r="K21" i="4" s="1"/>
  <c r="J13" i="4"/>
  <c r="K13" i="4" s="1"/>
  <c r="J20" i="4"/>
  <c r="K20" i="4"/>
  <c r="J9" i="4"/>
  <c r="K9" i="4" s="1"/>
  <c r="J15" i="4"/>
  <c r="K15" i="4" s="1"/>
  <c r="K14" i="4"/>
  <c r="E6" i="4"/>
  <c r="F6" i="4" s="1"/>
  <c r="I6" i="4" s="1"/>
  <c r="E8" i="4"/>
  <c r="F8" i="4" s="1"/>
  <c r="I8" i="4" s="1"/>
  <c r="E18" i="4"/>
  <c r="F18" i="4" s="1"/>
  <c r="I18" i="4" s="1"/>
  <c r="E5" i="4"/>
  <c r="F5" i="4" s="1"/>
  <c r="I5" i="4" s="1"/>
  <c r="E16" i="4"/>
  <c r="F16" i="4" s="1"/>
  <c r="I16" i="4" s="1"/>
  <c r="E7" i="4"/>
  <c r="F7" i="4" s="1"/>
  <c r="I7" i="4" s="1"/>
  <c r="E17" i="4"/>
  <c r="F17" i="4" s="1"/>
  <c r="I17" i="4" s="1"/>
  <c r="E11" i="4"/>
  <c r="F11" i="4" s="1"/>
  <c r="I11" i="4" s="1"/>
  <c r="L13" i="4" l="1"/>
  <c r="M13" i="4" s="1"/>
  <c r="L21" i="4"/>
  <c r="M21" i="4" s="1"/>
  <c r="L15" i="4"/>
  <c r="M15" i="4" s="1"/>
  <c r="L9" i="4"/>
  <c r="M9" i="4" s="1"/>
  <c r="F11" i="6" s="1"/>
  <c r="G11" i="6" s="1"/>
  <c r="L10" i="4"/>
  <c r="M10" i="4"/>
  <c r="K5" i="4"/>
  <c r="J5" i="4"/>
  <c r="L20" i="4"/>
  <c r="M20" i="4"/>
  <c r="L12" i="4"/>
  <c r="M12" i="4"/>
  <c r="J18" i="4"/>
  <c r="K18" i="4" s="1"/>
  <c r="K17" i="4"/>
  <c r="J17" i="4"/>
  <c r="J7" i="4"/>
  <c r="K7" i="4" s="1"/>
  <c r="J16" i="4"/>
  <c r="K16" i="4"/>
  <c r="J8" i="4"/>
  <c r="K8" i="4" s="1"/>
  <c r="M19" i="4"/>
  <c r="F24" i="6" s="1"/>
  <c r="G24" i="6" s="1"/>
  <c r="L19" i="4"/>
  <c r="J6" i="4"/>
  <c r="K6" i="4"/>
  <c r="J11" i="4"/>
  <c r="K11" i="4" s="1"/>
  <c r="L14" i="4"/>
  <c r="M14" i="4"/>
  <c r="F14" i="7" l="1"/>
  <c r="G14" i="7" s="1"/>
  <c r="F16" i="6"/>
  <c r="G16" i="6" s="1"/>
  <c r="L18" i="4"/>
  <c r="M18" i="4" s="1"/>
  <c r="L11" i="4"/>
  <c r="M11" i="4" s="1"/>
  <c r="L7" i="4"/>
  <c r="M7" i="4" s="1"/>
  <c r="L8" i="4"/>
  <c r="M8" i="4"/>
  <c r="F10" i="6" s="1"/>
  <c r="G10" i="6" s="1"/>
  <c r="F19" i="6"/>
  <c r="G19" i="6" s="1"/>
  <c r="F17" i="7"/>
  <c r="G17" i="7" s="1"/>
  <c r="F28" i="7"/>
  <c r="G28" i="7" s="1"/>
  <c r="F30" i="6"/>
  <c r="G30" i="6" s="1"/>
  <c r="F15" i="6"/>
  <c r="G15" i="6" s="1"/>
  <c r="F13" i="7"/>
  <c r="G13" i="7" s="1"/>
  <c r="L6" i="4"/>
  <c r="M6" i="4" s="1"/>
  <c r="M16" i="4"/>
  <c r="L16" i="4"/>
  <c r="F24" i="7"/>
  <c r="G24" i="7" s="1"/>
  <c r="F27" i="6"/>
  <c r="G27" i="6" s="1"/>
  <c r="F25" i="7"/>
  <c r="G25" i="7" s="1"/>
  <c r="F29" i="6"/>
  <c r="G29" i="6" s="1"/>
  <c r="F28" i="6"/>
  <c r="G28" i="6" s="1"/>
  <c r="F27" i="7"/>
  <c r="G27" i="7" s="1"/>
  <c r="F23" i="7"/>
  <c r="G23" i="7" s="1"/>
  <c r="F26" i="7"/>
  <c r="G26" i="7" s="1"/>
  <c r="F26" i="6"/>
  <c r="G26" i="6" s="1"/>
  <c r="L17" i="4"/>
  <c r="M17" i="4" s="1"/>
  <c r="M5" i="4"/>
  <c r="L5" i="4"/>
  <c r="F16" i="7"/>
  <c r="G16" i="7" s="1"/>
  <c r="F18" i="6"/>
  <c r="G18" i="6" s="1"/>
  <c r="F10" i="7"/>
  <c r="G10" i="7" s="1"/>
  <c r="F12" i="6"/>
  <c r="G12" i="6" s="1"/>
  <c r="F14" i="6" l="1"/>
  <c r="G14" i="6" s="1"/>
  <c r="F12" i="7"/>
  <c r="G12" i="7" s="1"/>
  <c r="F8" i="6"/>
  <c r="G8" i="6" s="1"/>
  <c r="F8" i="7"/>
  <c r="G8" i="7" s="1"/>
  <c r="F9" i="7"/>
  <c r="G9" i="7" s="1"/>
  <c r="F9" i="6"/>
  <c r="G9" i="6" s="1"/>
  <c r="F23" i="6"/>
  <c r="G23" i="6" s="1"/>
  <c r="F21" i="7"/>
  <c r="G21" i="7" s="1"/>
  <c r="F20" i="7"/>
  <c r="G20" i="7" s="1"/>
  <c r="F22" i="6"/>
  <c r="G22" i="6" s="1"/>
  <c r="F7" i="7"/>
  <c r="G7" i="7" s="1"/>
  <c r="F7" i="6"/>
  <c r="G7" i="6" s="1"/>
  <c r="F19" i="7"/>
  <c r="G19" i="7" s="1"/>
  <c r="F21" i="6"/>
  <c r="G21" i="6" s="1"/>
  <c r="F5" i="6" l="1"/>
  <c r="C6" i="2" s="1"/>
  <c r="F5" i="7"/>
  <c r="C7" i="2" s="1"/>
  <c r="C8" i="2" l="1"/>
  <c r="C9" i="2" l="1"/>
  <c r="C10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B5" authorId="0" shapeId="0" xr:uid="{00000000-0006-0000-0200-000001000000}">
      <text>
        <r>
          <rPr>
            <sz val="10"/>
            <rFont val="Arial"/>
            <family val="2"/>
          </rPr>
          <t>TCS LabourProject Rates_Master.</t>
        </r>
      </text>
    </comment>
    <comment ref="B6" authorId="0" shapeId="0" xr:uid="{00000000-0006-0000-0200-000002000000}">
      <text>
        <r>
          <rPr>
            <sz val="10"/>
            <rFont val="Arial"/>
            <family val="2"/>
          </rPr>
          <t>TCS.</t>
        </r>
      </text>
    </comment>
    <comment ref="B7" authorId="0" shapeId="0" xr:uid="{00000000-0006-0000-0200-000003000000}">
      <text>
        <r>
          <rPr>
            <sz val="10"/>
            <rFont val="Arial"/>
            <family val="2"/>
          </rPr>
          <t>TCS.</t>
        </r>
      </text>
    </comment>
    <comment ref="B8" authorId="0" shapeId="0" xr:uid="{00000000-0006-0000-0200-000004000000}">
      <text>
        <r>
          <rPr>
            <sz val="10"/>
            <rFont val="Arial"/>
            <family val="2"/>
          </rPr>
          <t>TCS Crew #1 InGround Drainage (incl. operator).</t>
        </r>
      </text>
    </comment>
    <comment ref="B11" authorId="0" shapeId="0" xr:uid="{00000000-0006-0000-0200-000005000000}">
      <text>
        <r>
          <rPr>
            <sz val="10"/>
            <rFont val="Arial"/>
            <family val="2"/>
          </rPr>
          <t>TCS Equip&amp;HIRE_Master (dry).</t>
        </r>
      </text>
    </comment>
    <comment ref="B12" authorId="0" shapeId="0" xr:uid="{00000000-0006-0000-0200-000006000000}">
      <text>
        <r>
          <rPr>
            <sz val="10"/>
            <rFont val="Arial"/>
            <family val="2"/>
          </rPr>
          <t>TCS (dry).</t>
        </r>
      </text>
    </comment>
    <comment ref="B13" authorId="0" shapeId="0" xr:uid="{00000000-0006-0000-0200-000007000000}">
      <text>
        <r>
          <rPr>
            <sz val="10"/>
            <rFont val="Arial"/>
            <family val="2"/>
          </rPr>
          <t>TCS (dry).</t>
        </r>
      </text>
    </comment>
    <comment ref="B14" authorId="0" shapeId="0" xr:uid="{00000000-0006-0000-0200-000008000000}">
      <text>
        <r>
          <rPr>
            <sz val="10"/>
            <rFont val="Arial"/>
            <family val="2"/>
          </rPr>
          <t>TCS.</t>
        </r>
      </text>
    </comment>
    <comment ref="B15" authorId="0" shapeId="0" xr:uid="{00000000-0006-0000-0200-000009000000}">
      <text>
        <r>
          <rPr>
            <sz val="10"/>
            <rFont val="Arial"/>
            <family val="2"/>
          </rPr>
          <t>TCS.</t>
        </r>
      </text>
    </comment>
    <comment ref="B16" authorId="0" shapeId="0" xr:uid="{00000000-0006-0000-0200-00000A000000}">
      <text>
        <r>
          <rPr>
            <sz val="10"/>
            <rFont val="Arial"/>
            <family val="2"/>
          </rPr>
          <t>Allowance - not in TCS list; verify.</t>
        </r>
      </text>
    </comment>
    <comment ref="B17" authorId="0" shapeId="0" xr:uid="{00000000-0006-0000-0200-00000B000000}">
      <text>
        <r>
          <rPr>
            <sz val="10"/>
            <rFont val="Arial"/>
            <family val="2"/>
          </rPr>
          <t>Allowance.</t>
        </r>
      </text>
    </comment>
    <comment ref="B18" authorId="0" shapeId="0" xr:uid="{00000000-0006-0000-0200-00000C000000}">
      <text>
        <r>
          <rPr>
            <sz val="10"/>
            <rFont val="Arial"/>
            <family val="2"/>
          </rPr>
          <t>Dry hire excludes fuel; add ~15%.</t>
        </r>
      </text>
    </comment>
    <comment ref="B25" authorId="0" shapeId="0" xr:uid="{00000000-0006-0000-0200-00000D000000}">
      <text>
        <r>
          <rPr>
            <sz val="10"/>
            <rFont val="Arial"/>
            <family val="2"/>
          </rPr>
          <t>Tradelink Q1065005 (higher of Tradelink/Reece).</t>
        </r>
      </text>
    </comment>
    <comment ref="B26" authorId="0" shapeId="0" xr:uid="{00000000-0006-0000-0200-00000E000000}">
      <text>
        <r>
          <rPr>
            <sz val="10"/>
            <rFont val="Arial"/>
            <family val="2"/>
          </rPr>
          <t>Tradelink Q1065005.</t>
        </r>
      </text>
    </comment>
    <comment ref="B27" authorId="0" shapeId="0" xr:uid="{00000000-0006-0000-0200-00000F000000}">
      <text>
        <r>
          <rPr>
            <sz val="10"/>
            <rFont val="Arial"/>
            <family val="2"/>
          </rPr>
          <t>TCS Material Rates_Master (Bedding/Fill Sand).</t>
        </r>
      </text>
    </comment>
    <comment ref="B28" authorId="0" shapeId="0" xr:uid="{00000000-0006-0000-0200-000010000000}">
      <text>
        <r>
          <rPr>
            <sz val="10"/>
            <rFont val="Arial"/>
            <family val="2"/>
          </rPr>
          <t>From components below.</t>
        </r>
      </text>
    </comment>
    <comment ref="B29" authorId="0" shapeId="0" xr:uid="{00000000-0006-0000-0200-000011000000}">
      <text>
        <r>
          <rPr>
            <sz val="10"/>
            <rFont val="Arial"/>
            <family val="2"/>
          </rPr>
          <t>From components below.</t>
        </r>
      </text>
    </comment>
    <comment ref="B30" authorId="0" shapeId="0" xr:uid="{00000000-0006-0000-0200-000012000000}">
      <text>
        <r>
          <rPr>
            <sz val="10"/>
            <rFont val="Arial"/>
            <family val="2"/>
          </rPr>
          <t>From components below.</t>
        </r>
      </text>
    </comment>
    <comment ref="B31" authorId="0" shapeId="0" xr:uid="{00000000-0006-0000-0200-000013000000}">
      <text>
        <r>
          <rPr>
            <sz val="10"/>
            <rFont val="Arial"/>
            <family val="2"/>
          </rPr>
          <t>ESTIMATE - not quoted.</t>
        </r>
      </text>
    </comment>
    <comment ref="B32" authorId="0" shapeId="0" xr:uid="{00000000-0006-0000-0200-000014000000}">
      <text>
        <r>
          <rPr>
            <sz val="10"/>
            <rFont val="Arial"/>
            <family val="2"/>
          </rPr>
          <t>Reece Q459011816.</t>
        </r>
      </text>
    </comment>
    <comment ref="B33" authorId="0" shapeId="0" xr:uid="{00000000-0006-0000-0200-000015000000}">
      <text>
        <r>
          <rPr>
            <sz val="10"/>
            <rFont val="Arial"/>
            <family val="2"/>
          </rPr>
          <t>Reece Q459011816.</t>
        </r>
      </text>
    </comment>
    <comment ref="B34" authorId="0" shapeId="0" xr:uid="{00000000-0006-0000-0200-000016000000}">
      <text>
        <r>
          <rPr>
            <sz val="10"/>
            <rFont val="Arial"/>
            <family val="2"/>
          </rPr>
          <t>ESTIMATE - not quoted.</t>
        </r>
      </text>
    </comment>
    <comment ref="B37" authorId="0" shapeId="0" xr:uid="{00000000-0006-0000-0200-000017000000}">
      <text>
        <r>
          <rPr>
            <sz val="10"/>
            <rFont val="Arial"/>
            <family val="2"/>
          </rPr>
          <t>Reece.</t>
        </r>
      </text>
    </comment>
    <comment ref="B38" authorId="0" shapeId="0" xr:uid="{00000000-0006-0000-0200-000018000000}">
      <text>
        <r>
          <rPr>
            <sz val="10"/>
            <rFont val="Arial"/>
            <family val="2"/>
          </rPr>
          <t>Higher: Reece/Jaybro/Tradelink.</t>
        </r>
      </text>
    </comment>
    <comment ref="B39" authorId="0" shapeId="0" xr:uid="{00000000-0006-0000-0200-000019000000}">
      <text>
        <r>
          <rPr>
            <sz val="10"/>
            <rFont val="Arial"/>
            <family val="2"/>
          </rPr>
          <t>Higher.</t>
        </r>
      </text>
    </comment>
    <comment ref="B40" authorId="0" shapeId="0" xr:uid="{00000000-0006-0000-0200-00001A000000}">
      <text>
        <r>
          <rPr>
            <sz val="10"/>
            <rFont val="Arial"/>
            <family val="2"/>
          </rPr>
          <t>Higher: Tradelink/Reece.</t>
        </r>
      </text>
    </comment>
    <comment ref="B41" authorId="0" shapeId="0" xr:uid="{00000000-0006-0000-0200-00001B000000}">
      <text>
        <r>
          <rPr>
            <sz val="10"/>
            <rFont val="Arial"/>
            <family val="2"/>
          </rPr>
          <t>Higher: Tradelink/Reece/Jaybro.</t>
        </r>
      </text>
    </comment>
    <comment ref="B42" authorId="0" shapeId="0" xr:uid="{00000000-0006-0000-0200-00001C000000}">
      <text>
        <r>
          <rPr>
            <sz val="10"/>
            <rFont val="Arial"/>
            <family val="2"/>
          </rPr>
          <t>Higher: Reece/Jaybro.</t>
        </r>
      </text>
    </comment>
    <comment ref="B49" authorId="0" shapeId="0" xr:uid="{00000000-0006-0000-0200-00001D000000}">
      <text>
        <r>
          <rPr>
            <sz val="10"/>
            <rFont val="Arial"/>
            <family val="2"/>
          </rPr>
          <t>TCS ~8% raised to 10% for large/long project.</t>
        </r>
      </text>
    </comment>
    <comment ref="B51" authorId="0" shapeId="0" xr:uid="{00000000-0006-0000-0200-00001E000000}">
      <text>
        <r>
          <rPr>
            <sz val="10"/>
            <rFont val="Arial"/>
            <family val="2"/>
          </rPr>
          <t>TCS overhead = 18% of project cost.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E10" authorId="0" shapeId="0" xr:uid="{00000000-0006-0000-0300-000001000000}">
      <text>
        <r>
          <rPr>
            <sz val="10"/>
            <rFont val="Arial"/>
            <family val="2"/>
          </rPr>
          <t>Dewatering pump/day.</t>
        </r>
      </text>
    </comment>
  </commentList>
</comments>
</file>

<file path=xl/sharedStrings.xml><?xml version="1.0" encoding="utf-8"?>
<sst xmlns="http://schemas.openxmlformats.org/spreadsheetml/2006/main" count="527" uniqueCount="292">
  <si>
    <t>LIMESTONE CREEK ESTATE (5614) — YEPPOON  |  SEWER PRICING v3</t>
  </si>
  <si>
    <t>Rate basis: Tricore (TCS) internal cost sheet + supplier quotes + researched estimates</t>
  </si>
  <si>
    <t>BASIS — READ BEFORE USE</t>
  </si>
  <si>
    <t>1.  QUANTITIES from McIntosh Civil BOQ (Rev A). No independent take-off done; rates apply to their quantities.</t>
  </si>
  <si>
    <t>2.  LABOUR &amp; PLANT now from your TCS cost sheet: in-ground crew $2,650.39/day (3-person, incl. operator); dry-hire plant day rates; +15% fuel &amp; consumables on plant. Crews built on 'Rate Library'.</t>
  </si>
  <si>
    <t>3.  PRELIMS 10% (raised from your ~8% for this larger/longer project) + OVERHEAD 18% (your TCS rate) + wet weather 5%, applied as loadings on direct cost; MARGIN 15% on top.</t>
  </si>
  <si>
    <t>4.  PRODUCTION OUTPUTS reduced 15% across the board, per instruction (the m/day and ea/day figures shown are the already-reduced values).</t>
  </si>
  <si>
    <t>5.  MATERIALS: supplier-quoted rates retained (they were NOT overruled). Bedding sand now $39.75/m3 from your TCS sheet. Freight captured as 10% on material.</t>
  </si>
  <si>
    <t>6.  ESTIMATED RATES (orange on the Material Rate Register): RCBC 3.6m culverts, RCP &gt;600, 525 HDPE, 200 uPVC, subsoil, bioretention media, and 250 water main are MY estimates - extrapolated conservatively (leaning high) from your quotes + industry research, because those items are quote-only with no public rate. VERIFY before use.</t>
  </si>
  <si>
    <t>7.  WATER MAIN priced on HDPE PN16 rates (your TCS sheet) per instruction, not PVC.</t>
  </si>
  <si>
    <t>8.  This file prices SEWER (Stages 1&amp;2 and 3-6; sewer has no Trunk Road scope). Water &amp; Stormwater run off the same engine and the same Rate Register, and get built into the 3-project split (Trunk Road / St 1-2 / St 3-6) next.</t>
  </si>
  <si>
    <t>9.  All ex-GST. Edit yellow cells; everything else recalculates.</t>
  </si>
  <si>
    <t>SEWER — PRICING SUMMARY (TCS basis)</t>
  </si>
  <si>
    <t>Limestone Creek Estate (5614) | Ex-GST | TCS labour/plant/OH, supplier materials, -15% production</t>
  </si>
  <si>
    <t>Package</t>
  </si>
  <si>
    <t>Amount (ex-GST)</t>
  </si>
  <si>
    <t>PROJECT 2 — Stages 1 &amp; 2 (Sewer)</t>
  </si>
  <si>
    <t>PROJECT 3 — Stages 3-6 (Sewer)</t>
  </si>
  <si>
    <t>TOTAL SEWER (ex-GST)</t>
  </si>
  <si>
    <t>GST (10%)</t>
  </si>
  <si>
    <t>TOTAL incl. GST</t>
  </si>
  <si>
    <t>PROJECT 1 (Trunk Road): no sewer scope. Water &amp; Stormwater will populate all three projects.</t>
  </si>
  <si>
    <t>Provisional water-charged ground carries a rate but no quantity (excluded until a qty is set).</t>
  </si>
  <si>
    <t>RATE LIBRARY  (TCS basis)</t>
  </si>
  <si>
    <t>Yellow = edit. Black = calculated. Ex-GST.</t>
  </si>
  <si>
    <t>A.  LABOUR  ($/day, TCS - 10hr day, FIFO all-in)</t>
  </si>
  <si>
    <t>Tradesman / Leading Hand</t>
  </si>
  <si>
    <t>$/day</t>
  </si>
  <si>
    <t>Plumber / Operator</t>
  </si>
  <si>
    <t>T/A &amp; Apprentice</t>
  </si>
  <si>
    <t>In-ground crew (3-person)</t>
  </si>
  <si>
    <t>B.  PLANT  (dry-hire $/day, TCS)</t>
  </si>
  <si>
    <t>Excavator 20-24t</t>
  </si>
  <si>
    <t>Excavator 8t</t>
  </si>
  <si>
    <t>Tipper truck &lt;6t</t>
  </si>
  <si>
    <t>Trench roller (dbl drum)</t>
  </si>
  <si>
    <t>Upright rammer / wacker</t>
  </si>
  <si>
    <t>Trench shield / shoring</t>
  </si>
  <si>
    <t>Dewatering pump + wellpoints</t>
  </si>
  <si>
    <t>Fuel &amp; consumables (on plant)</t>
  </si>
  <si>
    <t>%</t>
  </si>
  <si>
    <t>C.  CREWS  ($/day, derived)</t>
  </si>
  <si>
    <t>Mains crew (in-ground + exc/truck/roller/wacker)</t>
  </si>
  <si>
    <t>Structures crew (in-ground + 8t exc/truck)</t>
  </si>
  <si>
    <t>D.  MATERIALS  ($/unit ex-GST, ex-freight)</t>
  </si>
  <si>
    <t>DN150 sewer pipe (uPVC SN8 RRJ)</t>
  </si>
  <si>
    <t>$/m</t>
  </si>
  <si>
    <t>DN300 sewer pipe (uPVC SN8 RRJ)</t>
  </si>
  <si>
    <t>Bedding sand, delivered</t>
  </si>
  <si>
    <t>$/m3</t>
  </si>
  <si>
    <t>Manhole assembly &lt;1.5m</t>
  </si>
  <si>
    <t>$/ea</t>
  </si>
  <si>
    <t>Manhole assembly 1.5-3m</t>
  </si>
  <si>
    <t>Manhole assembly &gt;3m</t>
  </si>
  <si>
    <t>Lamphole assembly</t>
  </si>
  <si>
    <t>Property junction fitting</t>
  </si>
  <si>
    <t>150mm bend fitting</t>
  </si>
  <si>
    <t>Marker tape / sundries</t>
  </si>
  <si>
    <t>D2.  MANHOLE COMPONENTS (higher of suppliers)</t>
  </si>
  <si>
    <t>1050 fibreglass base</t>
  </si>
  <si>
    <t>Concrete shaft 1050x1200</t>
  </si>
  <si>
    <t>Concrete shaft 1050x300</t>
  </si>
  <si>
    <t>Reducer slab CL D</t>
  </si>
  <si>
    <t>Cover &amp; surround CL D</t>
  </si>
  <si>
    <t>Waterstop per MH</t>
  </si>
  <si>
    <t xml:space="preserve">  MH &lt;1.5m</t>
  </si>
  <si>
    <t xml:space="preserve">  MH 1.5-3m</t>
  </si>
  <si>
    <t xml:space="preserve">  MH &gt;3m</t>
  </si>
  <si>
    <t>E.  GLOBAL FACTORS</t>
  </si>
  <si>
    <t>Supervision &amp; prelims loading</t>
  </si>
  <si>
    <t>Wet weather / downtime</t>
  </si>
  <si>
    <t>Overhead (TCS)</t>
  </si>
  <si>
    <t>Margin / markup</t>
  </si>
  <si>
    <t>Bedding quantity per m</t>
  </si>
  <si>
    <t>m3/m</t>
  </si>
  <si>
    <t>Freight &amp; delivery (on material)</t>
  </si>
  <si>
    <t>LEGEND:</t>
  </si>
  <si>
    <t>Yellow = edit</t>
  </si>
  <si>
    <t>Green = calculated</t>
  </si>
  <si>
    <t>RATE BUILDUPS  (first principles, $/day basis)</t>
  </si>
  <si>
    <t>Yellow = production output (already -15%). Crew $/day and loadings from Rate Library. Rate (col M) links to BOQ.</t>
  </si>
  <si>
    <t>Ref</t>
  </si>
  <si>
    <t>Description</t>
  </si>
  <si>
    <t>Unit</t>
  </si>
  <si>
    <t>Prod
/day</t>
  </si>
  <si>
    <t>Crew
$/day</t>
  </si>
  <si>
    <t>Labour+
Plant $/u</t>
  </si>
  <si>
    <t>Material+
Frt $/u</t>
  </si>
  <si>
    <t>Bed+Sun
+Shore $/u</t>
  </si>
  <si>
    <t>Direct
$/u</t>
  </si>
  <si>
    <t>Indirect
$/u</t>
  </si>
  <si>
    <t>Subtotal
$/u</t>
  </si>
  <si>
    <t>Margin
$/u</t>
  </si>
  <si>
    <t>RATE
$/unit</t>
  </si>
  <si>
    <t>SW-01</t>
  </si>
  <si>
    <t>150mm sewer, up to 1.5m</t>
  </si>
  <si>
    <t>m</t>
  </si>
  <si>
    <t>SW-02</t>
  </si>
  <si>
    <t>150mm sewer, 1.5-3.0m</t>
  </si>
  <si>
    <t>SW-03</t>
  </si>
  <si>
    <t>150mm sewer, over 3.0m</t>
  </si>
  <si>
    <t>SW-04</t>
  </si>
  <si>
    <t>300mm sewer, 1.5-3.0m</t>
  </si>
  <si>
    <t>SW-05</t>
  </si>
  <si>
    <t>300mm sewer, over 3.0m</t>
  </si>
  <si>
    <t>SW-06</t>
  </si>
  <si>
    <t>Water-charged ground (prov., EXTRA-OVER)</t>
  </si>
  <si>
    <t>SW-07</t>
  </si>
  <si>
    <t>Manhole, up to 1.5m</t>
  </si>
  <si>
    <t>ea</t>
  </si>
  <si>
    <t>SW-08</t>
  </si>
  <si>
    <t>Manhole, 1.5-3.0m</t>
  </si>
  <si>
    <t>SW-09</t>
  </si>
  <si>
    <t>Manhole, over 3.0m</t>
  </si>
  <si>
    <t>SW-10</t>
  </si>
  <si>
    <t>Lamphole, up to 1.5m</t>
  </si>
  <si>
    <t>SW-11</t>
  </si>
  <si>
    <t>Lamphole, 1.5-3.0m</t>
  </si>
  <si>
    <t>SW-12</t>
  </si>
  <si>
    <t>Property junction - Type B</t>
  </si>
  <si>
    <t>SW-13</t>
  </si>
  <si>
    <t>Property junction - Type C1</t>
  </si>
  <si>
    <t>SW-14</t>
  </si>
  <si>
    <t>Property junction - Type C2</t>
  </si>
  <si>
    <t>SW-15</t>
  </si>
  <si>
    <t>Property junction - Type D</t>
  </si>
  <si>
    <t>SW-16</t>
  </si>
  <si>
    <t>150mm sewer bend</t>
  </si>
  <si>
    <t>SW-17</t>
  </si>
  <si>
    <t>Connect to existing MH (allowance)</t>
  </si>
  <si>
    <t>TESTING &amp; COMMISSIONING  —  unit rate inputs</t>
  </si>
  <si>
    <t>CCTV inspection &amp; reporting</t>
  </si>
  <si>
    <t>Vacuum testing of manholes</t>
  </si>
  <si>
    <t>$/MH</t>
  </si>
  <si>
    <t>Pressure testing of main</t>
  </si>
  <si>
    <t>STAGE LUMP SUMS (item — incl. margin)</t>
  </si>
  <si>
    <t>Vacuum testing - Stage 1 &amp; 2</t>
  </si>
  <si>
    <t>Pressure testing - Stage 1 &amp; 2</t>
  </si>
  <si>
    <t>CCTV - Stage 1 &amp; 2</t>
  </si>
  <si>
    <t>Vacuum testing - Stage 3-6</t>
  </si>
  <si>
    <t>Pressure testing - Stage 3-6</t>
  </si>
  <si>
    <t>CCTV - Stage 3-6</t>
  </si>
  <si>
    <t>MATERIAL RATE REGISTER — all packages (ex-GST, supply, ex-freight)</t>
  </si>
  <si>
    <t>Source key: QUOTED = supplier quotation (higher of two used). TCS = your cost sheet. ESTIMATE (orange) = my extrapolated/researched rate, leaning conservative — VERIFY.</t>
  </si>
  <si>
    <t>Category</t>
  </si>
  <si>
    <t>Item</t>
  </si>
  <si>
    <t>Rate</t>
  </si>
  <si>
    <t>Source / basis</t>
  </si>
  <si>
    <t>SEWER</t>
  </si>
  <si>
    <t>DN150 sewer pipe uPVC SN8 RRJ</t>
  </si>
  <si>
    <t>Tradelink Q1065005 (higher of Tradelink/Reece)</t>
  </si>
  <si>
    <t>DN300 sewer pipe uPVC SN8 RRJ</t>
  </si>
  <si>
    <t>Tradelink Q1065005</t>
  </si>
  <si>
    <t>Bedding sand delivered</t>
  </si>
  <si>
    <t>m3</t>
  </si>
  <si>
    <t>TCS Material Rates_Master</t>
  </si>
  <si>
    <t>Manhole 1.5-3m (assembly)</t>
  </si>
  <si>
    <t>Reece/Jaybro/Tradelink components, higher of each</t>
  </si>
  <si>
    <t>Reece Q459011816</t>
  </si>
  <si>
    <t>150mm bend</t>
  </si>
  <si>
    <t>ESTIMATE - not quoted</t>
  </si>
  <si>
    <t>STORMWATER pipe</t>
  </si>
  <si>
    <t>375 HDPE SN8</t>
  </si>
  <si>
    <t>Reece Q459014445 (higher of Reece/Iplex)</t>
  </si>
  <si>
    <t>450 HDPE SN8</t>
  </si>
  <si>
    <t>Iplex Q646120</t>
  </si>
  <si>
    <t>525 HDPE SN8</t>
  </si>
  <si>
    <t>ESTIMATE - interpolated 450/600, lean high</t>
  </si>
  <si>
    <t>600 HDPE SN8</t>
  </si>
  <si>
    <t>Reece Q459014445</t>
  </si>
  <si>
    <t>375 RCP Cl4 (+ring)</t>
  </si>
  <si>
    <t>Reece Q459014445 (higher of Reece/Humes)</t>
  </si>
  <si>
    <t>450 RCP Cl4 (+ring)</t>
  </si>
  <si>
    <t>600 RCP Cl3 (+ring)</t>
  </si>
  <si>
    <t>675 RCP</t>
  </si>
  <si>
    <t>ESTIMATE - extrapolated from 375/450/600, lean high</t>
  </si>
  <si>
    <t>750 RCP</t>
  </si>
  <si>
    <t>ESTIMATE - extrapolated</t>
  </si>
  <si>
    <t>825 RCP</t>
  </si>
  <si>
    <t>900 RCP</t>
  </si>
  <si>
    <t>BOX CULVERT</t>
  </si>
  <si>
    <t>600x300 RCBC</t>
  </si>
  <si>
    <t>Reece Q459014445 ($1136/2.4m)</t>
  </si>
  <si>
    <t>1200x600 RCBC</t>
  </si>
  <si>
    <t>Humes Q21642316 ($1718/2.4m)</t>
  </si>
  <si>
    <t>2700x1200 RCBC</t>
  </si>
  <si>
    <t>Reece Q459014445 ($6798/2.4m)</t>
  </si>
  <si>
    <t>3.6m x 0.9m RCBC (Limestone)</t>
  </si>
  <si>
    <t>ESTIMATE - extrapolated from quoted culverts, lean high. GET HUMES QUOTE</t>
  </si>
  <si>
    <t>3.6m x 1.2m RCBC (Limestone)</t>
  </si>
  <si>
    <t>ESTIMATE - extrapolated, lean high. GET HUMES QUOTE</t>
  </si>
  <si>
    <t>INTERLOT</t>
  </si>
  <si>
    <t>150 uPVC SN8</t>
  </si>
  <si>
    <t>200 uPVC SN8</t>
  </si>
  <si>
    <t>ESTIMATE - interpolated 150/225</t>
  </si>
  <si>
    <t>225 uPVC SN8</t>
  </si>
  <si>
    <t>300 uPVC SN8</t>
  </si>
  <si>
    <t>SUBSOIL</t>
  </si>
  <si>
    <t>100mm draincoil + sock + agg</t>
  </si>
  <si>
    <t>BIORETENTION</t>
  </si>
  <si>
    <t>Filter media (sandy loam, FAWB)</t>
  </si>
  <si>
    <t>ESTIMATE - River Sands/SP Sands class product, lean high</t>
  </si>
  <si>
    <t>Transition sand layer</t>
  </si>
  <si>
    <t>ESTIMATE</t>
  </si>
  <si>
    <t>Drainage gravel layer</t>
  </si>
  <si>
    <t>PITS/HEADWALL</t>
  </si>
  <si>
    <t>600x600 pit base</t>
  </si>
  <si>
    <t>Humes Q21641195</t>
  </si>
  <si>
    <t>600x600 Class D grate</t>
  </si>
  <si>
    <t>Tradelink Q1065005 (higher)</t>
  </si>
  <si>
    <t>375 headwall</t>
  </si>
  <si>
    <t>Humes Q21641195 (higher)</t>
  </si>
  <si>
    <t>WATER main (HDPE)</t>
  </si>
  <si>
    <t>DN63 PE</t>
  </si>
  <si>
    <t>ESTIMATE - small PE</t>
  </si>
  <si>
    <t>DN100 (HDPE PN16 rate)</t>
  </si>
  <si>
    <t>TCS HDPE PN16 (per instruction: PVC=HDPE), lean high</t>
  </si>
  <si>
    <t>DN200 (HDPE PN16 rate)</t>
  </si>
  <si>
    <t>TCS 200 HDPE PN16 SDR11</t>
  </si>
  <si>
    <t>DN250 (HDPE PN16 rate)</t>
  </si>
  <si>
    <t>ESTIMATE - extrapolated from TCS 200 HDPE, lean high</t>
  </si>
  <si>
    <t>LIMESTONE CR ROAD YEPPOON</t>
  </si>
  <si>
    <t>STAGE 1 &amp; 2 - OP WORKS</t>
  </si>
  <si>
    <t>BILL OF QUANTITIES</t>
  </si>
  <si>
    <t>DATE</t>
  </si>
  <si>
    <t>Rev A</t>
  </si>
  <si>
    <t>Qty.</t>
  </si>
  <si>
    <t>Total</t>
  </si>
  <si>
    <t>SEWER RETICULATION</t>
  </si>
  <si>
    <t>Supply, Excavate, bed, lay, joint &amp; backfill incl compaction testing &amp; tape</t>
  </si>
  <si>
    <t>6.1.1</t>
  </si>
  <si>
    <t>150mm sewer up to 1.50m deep</t>
  </si>
  <si>
    <t>6.1.2</t>
  </si>
  <si>
    <t>150mm sewer 1.50m to 3.0m deep</t>
  </si>
  <si>
    <t>6.1.3</t>
  </si>
  <si>
    <t>150mm sewer over  3.0m deep</t>
  </si>
  <si>
    <t>6.1.4</t>
  </si>
  <si>
    <t>300mm sewer 1.50m to 3.0m deep</t>
  </si>
  <si>
    <t>6.1.5</t>
  </si>
  <si>
    <t>300mm sewer over 3.0m deep</t>
  </si>
  <si>
    <t>6.1.6</t>
  </si>
  <si>
    <t>Provisional Item - Allowance for Excavation and Installation in Water Charged Ground</t>
  </si>
  <si>
    <t xml:space="preserve">Construct Manholes </t>
  </si>
  <si>
    <t>6.2.1</t>
  </si>
  <si>
    <t xml:space="preserve">Up to 1.5m Deep </t>
  </si>
  <si>
    <t>each</t>
  </si>
  <si>
    <t>6.2.2</t>
  </si>
  <si>
    <t xml:space="preserve">1.5m to 3m Deep </t>
  </si>
  <si>
    <t>6.2.3</t>
  </si>
  <si>
    <t>Over 3m Deep</t>
  </si>
  <si>
    <t>Construct Lampholes</t>
  </si>
  <si>
    <t>6.3.1</t>
  </si>
  <si>
    <t>Construct Lampholes to 1.5m</t>
  </si>
  <si>
    <t>6.3.2</t>
  </si>
  <si>
    <t>Construct Lampholes 1.5 to 3m</t>
  </si>
  <si>
    <t>House Junctions - into line</t>
  </si>
  <si>
    <t>6.4.1</t>
  </si>
  <si>
    <t>100mm dia property sewer junction - Type B</t>
  </si>
  <si>
    <t>6.4.2</t>
  </si>
  <si>
    <t>100mm dia property sewer junction - Type C1</t>
  </si>
  <si>
    <t>6.4.3</t>
  </si>
  <si>
    <t>100mm dia property sewer junction - Type C2</t>
  </si>
  <si>
    <t>6.4.4</t>
  </si>
  <si>
    <t>100mm dia property sewer junction - Type D</t>
  </si>
  <si>
    <t>Bends</t>
  </si>
  <si>
    <t>6.5.1</t>
  </si>
  <si>
    <t>150mm 6° Bends</t>
  </si>
  <si>
    <t>6.5.2</t>
  </si>
  <si>
    <t>150mm 11¼ ° Bends</t>
  </si>
  <si>
    <t>6.5.3</t>
  </si>
  <si>
    <t>150mm 22½ ° Bends</t>
  </si>
  <si>
    <t>6.5.4</t>
  </si>
  <si>
    <t>150mm 45 ° Bends</t>
  </si>
  <si>
    <t>6.5.5</t>
  </si>
  <si>
    <t>Connect to existing Manhole by Livingstone Shire</t>
  </si>
  <si>
    <t>Commissioning sewer main</t>
  </si>
  <si>
    <t>6.6.1</t>
  </si>
  <si>
    <t>Vaccum testing manholes</t>
  </si>
  <si>
    <t>item</t>
  </si>
  <si>
    <t>6.6.2</t>
  </si>
  <si>
    <t>Pressure testing of sewer</t>
  </si>
  <si>
    <t>6.6.3</t>
  </si>
  <si>
    <t>Stage 3, 4, 5 &amp; 6 - OP WORKS</t>
  </si>
  <si>
    <t>REV A</t>
  </si>
  <si>
    <t>150mm sewer over 3.0m deep</t>
  </si>
  <si>
    <t>House Junctions (including manhole inlets)</t>
  </si>
  <si>
    <t>150mm 33¾° Bends</t>
  </si>
  <si>
    <t>Stage 1 &amp; 2</t>
  </si>
  <si>
    <t xml:space="preserve">Road Drainage </t>
  </si>
  <si>
    <t>IAD</t>
  </si>
  <si>
    <t>Stage 3, 4, 5, 6</t>
  </si>
  <si>
    <t>Trunk Road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</si>
</sst>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-* #,##0.00_-;\-* #,##0.00_-;_-* \-??_-;_-@_-"/>
    <numFmt numFmtId="165" formatCode="\$#,##0"/>
    <numFmt numFmtId="166" formatCode="\$#,##0.00"/>
    <numFmt numFmtId="167" formatCode="0.0%"/>
    <numFmt numFmtId="168" formatCode="_-* #,##0_-;\-* #,##0_-;_-* \-??_-;_-@_-"/>
    <numFmt numFmtId="169" formatCode="\$#,##0.00;[Red]&quot;-$&quot;#,##0.00"/>
    <numFmt numFmtId="170" formatCode="m/d/yyyy"/>
    <numFmt numFmtId="171" formatCode="0.0"/>
  </numFmts>
  <fonts count="23" x14ac:knownFonts="1">
    <font>
      <sz val="11"/>
      <color theme="1"/>
      <name val="Calibri"/>
      <family val="2"/>
      <charset val="1"/>
    </font>
    <font>
      <sz val="10"/>
      <name val="Arial"/>
      <family val="2"/>
      <charset val="1"/>
    </font>
    <font>
      <b/>
      <sz val="13"/>
      <color rgb="FF1F3864"/>
      <name val="Arial"/>
      <charset val="1"/>
    </font>
    <font>
      <b/>
      <sz val="11"/>
      <color rgb="FF1F3864"/>
      <name val="Arial"/>
      <charset val="1"/>
    </font>
    <font>
      <b/>
      <sz val="10"/>
      <color rgb="FF1F3864"/>
      <name val="Arial"/>
      <charset val="1"/>
    </font>
    <font>
      <sz val="10"/>
      <name val="Arial"/>
      <charset val="1"/>
    </font>
    <font>
      <sz val="9"/>
      <color rgb="FFC00000"/>
      <name val="Arial"/>
      <charset val="1"/>
    </font>
    <font>
      <i/>
      <sz val="9"/>
      <color rgb="FF808080"/>
      <name val="Arial"/>
      <charset val="1"/>
    </font>
    <font>
      <b/>
      <sz val="10"/>
      <color rgb="FFFFFFFF"/>
      <name val="Arial"/>
      <charset val="1"/>
    </font>
    <font>
      <sz val="10"/>
      <color rgb="FF000000"/>
      <name val="Arial"/>
      <charset val="1"/>
    </font>
    <font>
      <b/>
      <sz val="10"/>
      <name val="Arial"/>
      <charset val="1"/>
    </font>
    <font>
      <sz val="10"/>
      <color rgb="FF0000FF"/>
      <name val="Arial"/>
      <charset val="1"/>
    </font>
    <font>
      <sz val="10"/>
      <name val="Arial"/>
      <family val="2"/>
    </font>
    <font>
      <b/>
      <sz val="10"/>
      <color rgb="FFC55A11"/>
      <name val="Arial"/>
      <charset val="1"/>
    </font>
    <font>
      <sz val="10"/>
      <color theme="1"/>
      <name val="Aptos"/>
      <family val="2"/>
      <charset val="1"/>
    </font>
    <font>
      <b/>
      <sz val="12"/>
      <color theme="1"/>
      <name val="Aptos"/>
      <family val="2"/>
      <charset val="1"/>
    </font>
    <font>
      <b/>
      <sz val="11"/>
      <color theme="1"/>
      <name val="Aptos"/>
      <family val="2"/>
      <charset val="1"/>
    </font>
    <font>
      <b/>
      <sz val="10"/>
      <color theme="1"/>
      <name val="Aptos"/>
      <family val="2"/>
      <charset val="1"/>
    </font>
    <font>
      <b/>
      <sz val="10"/>
      <name val="Aptos"/>
      <family val="2"/>
      <charset val="1"/>
    </font>
    <font>
      <b/>
      <i/>
      <sz val="10"/>
      <color theme="1"/>
      <name val="Aptos"/>
      <family val="2"/>
      <charset val="1"/>
    </font>
    <font>
      <sz val="10"/>
      <name val="Aptos"/>
      <family val="2"/>
      <charset val="1"/>
    </font>
    <font>
      <b/>
      <i/>
      <sz val="10"/>
      <name val="Aptos"/>
      <family val="2"/>
      <charset val="1"/>
    </font>
    <font>
      <sz val="11"/>
      <color theme="1"/>
      <name val="Calibri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rgb="FFD9E1F2"/>
        <bgColor rgb="FFD9D9D9"/>
      </patternFill>
    </fill>
    <fill>
      <patternFill patternType="solid">
        <fgColor rgb="FFFCE4D6"/>
        <bgColor rgb="FFFFF2CC"/>
      </patternFill>
    </fill>
    <fill>
      <patternFill patternType="solid">
        <fgColor rgb="FF1F3864"/>
        <bgColor rgb="FF333333"/>
      </patternFill>
    </fill>
    <fill>
      <patternFill patternType="solid">
        <fgColor rgb="FFE2EFDA"/>
        <bgColor rgb="FFD9E1F2"/>
      </patternFill>
    </fill>
    <fill>
      <patternFill patternType="solid">
        <fgColor rgb="FFFFF2CC"/>
        <bgColor rgb="FFFCE4D6"/>
      </patternFill>
    </fill>
    <fill>
      <patternFill patternType="solid">
        <fgColor theme="0" tint="-0.34998626667073579"/>
        <bgColor rgb="FFBFBFBF"/>
      </patternFill>
    </fill>
    <fill>
      <patternFill patternType="solid">
        <fgColor theme="0" tint="-0.14999847407452621"/>
        <bgColor rgb="FFD9E1F2"/>
      </patternFill>
    </fill>
    <fill>
      <patternFill patternType="solid">
        <fgColor theme="9" tint="0.79998168889431442"/>
        <bgColor rgb="FFFFF2CC"/>
      </patternFill>
    </fill>
  </fills>
  <borders count="2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</borders>
  <cellStyleXfs count="4">
    <xf numFmtId="0" fontId="0" fillId="0" borderId="0"/>
    <xf numFmtId="164" fontId="22" fillId="0" borderId="0"/>
    <xf numFmtId="164" fontId="22" fillId="0" borderId="0"/>
    <xf numFmtId="0" fontId="1" fillId="0" borderId="0"/>
  </cellStyleXfs>
  <cellXfs count="104">
    <xf numFmtId="0" fontId="0" fillId="0" borderId="0" xfId="0"/>
    <xf numFmtId="170" fontId="15" fillId="0" borderId="2" xfId="0" applyNumberFormat="1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 wrapText="1"/>
    </xf>
    <xf numFmtId="0" fontId="2" fillId="0" borderId="0" xfId="0" applyFont="1"/>
    <xf numFmtId="0" fontId="3" fillId="0" borderId="0" xfId="0" applyFont="1"/>
    <xf numFmtId="0" fontId="4" fillId="2" borderId="0" xfId="0" applyFont="1" applyFill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6" fillId="3" borderId="0" xfId="0" applyFont="1" applyFill="1" applyAlignment="1">
      <alignment horizontal="left" vertical="center" wrapText="1"/>
    </xf>
    <xf numFmtId="0" fontId="7" fillId="0" borderId="0" xfId="0" applyFont="1"/>
    <xf numFmtId="0" fontId="8" fillId="4" borderId="1" xfId="0" applyFont="1" applyFill="1" applyBorder="1" applyAlignment="1">
      <alignment horizontal="left" vertical="center" wrapText="1"/>
    </xf>
    <xf numFmtId="0" fontId="8" fillId="4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165" fontId="9" fillId="0" borderId="1" xfId="0" applyNumberFormat="1" applyFont="1" applyBorder="1" applyAlignment="1">
      <alignment horizontal="right" vertical="center"/>
    </xf>
    <xf numFmtId="0" fontId="10" fillId="5" borderId="1" xfId="0" applyFont="1" applyFill="1" applyBorder="1" applyAlignment="1">
      <alignment horizontal="left" vertical="center" wrapText="1"/>
    </xf>
    <xf numFmtId="165" fontId="10" fillId="5" borderId="1" xfId="0" applyNumberFormat="1" applyFont="1" applyFill="1" applyBorder="1" applyAlignment="1">
      <alignment horizontal="right" vertical="center"/>
    </xf>
    <xf numFmtId="0" fontId="10" fillId="0" borderId="1" xfId="0" applyFont="1" applyBorder="1" applyAlignment="1">
      <alignment horizontal="left" vertical="center" wrapText="1"/>
    </xf>
    <xf numFmtId="165" fontId="10" fillId="0" borderId="1" xfId="0" applyNumberFormat="1" applyFont="1" applyBorder="1" applyAlignment="1">
      <alignment horizontal="right" vertical="center"/>
    </xf>
    <xf numFmtId="0" fontId="6" fillId="0" borderId="0" xfId="0" applyFont="1"/>
    <xf numFmtId="0" fontId="8" fillId="4" borderId="1" xfId="0" applyFont="1" applyFill="1" applyBorder="1"/>
    <xf numFmtId="166" fontId="11" fillId="6" borderId="1" xfId="0" applyNumberFormat="1" applyFont="1" applyFill="1" applyBorder="1" applyAlignment="1">
      <alignment horizontal="right" vertical="center"/>
    </xf>
    <xf numFmtId="0" fontId="5" fillId="0" borderId="1" xfId="0" applyFont="1" applyBorder="1" applyAlignment="1">
      <alignment horizontal="center" vertical="center"/>
    </xf>
    <xf numFmtId="167" fontId="11" fillId="6" borderId="1" xfId="0" applyNumberFormat="1" applyFont="1" applyFill="1" applyBorder="1" applyAlignment="1">
      <alignment horizontal="right" vertical="center"/>
    </xf>
    <xf numFmtId="166" fontId="9" fillId="5" borderId="1" xfId="0" applyNumberFormat="1" applyFont="1" applyFill="1" applyBorder="1" applyAlignment="1">
      <alignment horizontal="right" vertical="center"/>
    </xf>
    <xf numFmtId="4" fontId="11" fillId="6" borderId="1" xfId="0" applyNumberFormat="1" applyFont="1" applyFill="1" applyBorder="1" applyAlignment="1">
      <alignment horizontal="right" vertical="center"/>
    </xf>
    <xf numFmtId="0" fontId="10" fillId="0" borderId="0" xfId="0" applyFont="1"/>
    <xf numFmtId="0" fontId="11" fillId="6" borderId="0" xfId="0" applyFont="1" applyFill="1"/>
    <xf numFmtId="0" fontId="9" fillId="5" borderId="0" xfId="0" applyFont="1" applyFill="1"/>
    <xf numFmtId="0" fontId="8" fillId="4" borderId="1" xfId="0" applyFont="1" applyFill="1" applyBorder="1" applyAlignment="1">
      <alignment horizontal="center" vertical="center" wrapText="1"/>
    </xf>
    <xf numFmtId="166" fontId="9" fillId="0" borderId="1" xfId="0" applyNumberFormat="1" applyFont="1" applyBorder="1" applyAlignment="1">
      <alignment horizontal="right" vertical="center"/>
    </xf>
    <xf numFmtId="166" fontId="10" fillId="5" borderId="1" xfId="0" applyNumberFormat="1" applyFont="1" applyFill="1" applyBorder="1" applyAlignment="1">
      <alignment horizontal="right" vertical="center"/>
    </xf>
    <xf numFmtId="166" fontId="10" fillId="6" borderId="1" xfId="0" applyNumberFormat="1" applyFont="1" applyFill="1" applyBorder="1" applyAlignment="1">
      <alignment horizontal="right" vertical="center"/>
    </xf>
    <xf numFmtId="0" fontId="4" fillId="2" borderId="0" xfId="0" applyFont="1" applyFill="1"/>
    <xf numFmtId="166" fontId="10" fillId="0" borderId="1" xfId="0" applyNumberFormat="1" applyFont="1" applyBorder="1" applyAlignment="1">
      <alignment horizontal="right" vertical="center"/>
    </xf>
    <xf numFmtId="0" fontId="7" fillId="0" borderId="1" xfId="0" applyFont="1" applyBorder="1" applyAlignment="1">
      <alignment horizontal="left" vertical="center" wrapText="1"/>
    </xf>
    <xf numFmtId="0" fontId="13" fillId="3" borderId="1" xfId="0" applyFont="1" applyFill="1" applyBorder="1" applyAlignment="1">
      <alignment horizontal="left" vertical="center" wrapText="1"/>
    </xf>
    <xf numFmtId="166" fontId="13" fillId="3" borderId="1" xfId="0" applyNumberFormat="1" applyFont="1" applyFill="1" applyBorder="1" applyAlignment="1">
      <alignment horizontal="right" vertical="center"/>
    </xf>
    <xf numFmtId="0" fontId="6" fillId="0" borderId="1" xfId="0" applyFont="1" applyBorder="1" applyAlignment="1">
      <alignment horizontal="left" vertical="center" wrapText="1"/>
    </xf>
    <xf numFmtId="0" fontId="14" fillId="0" borderId="0" xfId="0" applyFont="1" applyAlignment="1">
      <alignment horizontal="right" vertical="center"/>
    </xf>
    <xf numFmtId="0" fontId="14" fillId="0" borderId="0" xfId="0" applyFont="1" applyAlignment="1">
      <alignment vertical="center"/>
    </xf>
    <xf numFmtId="168" fontId="14" fillId="0" borderId="0" xfId="1" applyNumberFormat="1" applyFont="1" applyAlignment="1">
      <alignment vertical="center"/>
    </xf>
    <xf numFmtId="166" fontId="14" fillId="0" borderId="0" xfId="1" applyNumberFormat="1" applyFont="1" applyAlignment="1">
      <alignment vertical="center"/>
    </xf>
    <xf numFmtId="169" fontId="14" fillId="0" borderId="0" xfId="0" applyNumberFormat="1" applyFont="1" applyAlignment="1">
      <alignment vertical="center"/>
    </xf>
    <xf numFmtId="0" fontId="16" fillId="0" borderId="3" xfId="0" applyFont="1" applyBorder="1" applyAlignment="1">
      <alignment vertical="center" wrapText="1"/>
    </xf>
    <xf numFmtId="170" fontId="14" fillId="0" borderId="4" xfId="0" applyNumberFormat="1" applyFont="1" applyBorder="1" applyAlignment="1">
      <alignment vertical="center"/>
    </xf>
    <xf numFmtId="0" fontId="14" fillId="0" borderId="5" xfId="0" applyFont="1" applyBorder="1" applyAlignment="1">
      <alignment vertical="center"/>
    </xf>
    <xf numFmtId="0" fontId="17" fillId="7" borderId="3" xfId="0" applyFont="1" applyFill="1" applyBorder="1" applyAlignment="1">
      <alignment horizontal="right" vertical="center"/>
    </xf>
    <xf numFmtId="0" fontId="17" fillId="7" borderId="5" xfId="0" applyFont="1" applyFill="1" applyBorder="1" applyAlignment="1">
      <alignment horizontal="right" vertical="center"/>
    </xf>
    <xf numFmtId="0" fontId="17" fillId="7" borderId="4" xfId="0" applyFont="1" applyFill="1" applyBorder="1" applyAlignment="1">
      <alignment horizontal="center" vertical="center" wrapText="1"/>
    </xf>
    <xf numFmtId="168" fontId="17" fillId="7" borderId="6" xfId="1" applyNumberFormat="1" applyFont="1" applyFill="1" applyBorder="1" applyAlignment="1">
      <alignment horizontal="center" vertical="center"/>
    </xf>
    <xf numFmtId="0" fontId="17" fillId="7" borderId="4" xfId="0" applyFont="1" applyFill="1" applyBorder="1" applyAlignment="1">
      <alignment horizontal="center" vertical="center"/>
    </xf>
    <xf numFmtId="166" fontId="17" fillId="7" borderId="6" xfId="1" applyNumberFormat="1" applyFont="1" applyFill="1" applyBorder="1" applyAlignment="1">
      <alignment horizontal="center" vertical="center"/>
    </xf>
    <xf numFmtId="169" fontId="17" fillId="7" borderId="5" xfId="0" applyNumberFormat="1" applyFont="1" applyFill="1" applyBorder="1" applyAlignment="1">
      <alignment horizontal="center" vertical="center"/>
    </xf>
    <xf numFmtId="0" fontId="17" fillId="7" borderId="7" xfId="0" applyFont="1" applyFill="1" applyBorder="1" applyAlignment="1">
      <alignment horizontal="right" vertical="center"/>
    </xf>
    <xf numFmtId="0" fontId="17" fillId="7" borderId="8" xfId="0" applyFont="1" applyFill="1" applyBorder="1" applyAlignment="1">
      <alignment horizontal="right" vertical="center"/>
    </xf>
    <xf numFmtId="0" fontId="18" fillId="7" borderId="9" xfId="0" applyFont="1" applyFill="1" applyBorder="1" applyAlignment="1">
      <alignment vertical="center" wrapText="1"/>
    </xf>
    <xf numFmtId="168" fontId="17" fillId="7" borderId="7" xfId="1" applyNumberFormat="1" applyFont="1" applyFill="1" applyBorder="1" applyAlignment="1">
      <alignment horizontal="center" vertical="center"/>
    </xf>
    <xf numFmtId="0" fontId="17" fillId="7" borderId="9" xfId="0" applyFont="1" applyFill="1" applyBorder="1" applyAlignment="1">
      <alignment horizontal="center" vertical="center"/>
    </xf>
    <xf numFmtId="166" fontId="17" fillId="7" borderId="9" xfId="1" applyNumberFormat="1" applyFont="1" applyFill="1" applyBorder="1" applyAlignment="1">
      <alignment horizontal="center" vertical="center"/>
    </xf>
    <xf numFmtId="169" fontId="17" fillId="7" borderId="8" xfId="0" applyNumberFormat="1" applyFont="1" applyFill="1" applyBorder="1" applyAlignment="1">
      <alignment horizontal="center" vertical="center"/>
    </xf>
    <xf numFmtId="0" fontId="17" fillId="8" borderId="10" xfId="0" applyFont="1" applyFill="1" applyBorder="1" applyAlignment="1">
      <alignment horizontal="right" vertical="center"/>
    </xf>
    <xf numFmtId="0" fontId="19" fillId="8" borderId="11" xfId="0" applyFont="1" applyFill="1" applyBorder="1" applyAlignment="1">
      <alignment horizontal="right" vertical="center"/>
    </xf>
    <xf numFmtId="0" fontId="19" fillId="8" borderId="12" xfId="0" applyFont="1" applyFill="1" applyBorder="1" applyAlignment="1">
      <alignment vertical="center" wrapText="1"/>
    </xf>
    <xf numFmtId="168" fontId="18" fillId="8" borderId="13" xfId="1" applyNumberFormat="1" applyFont="1" applyFill="1" applyBorder="1" applyAlignment="1">
      <alignment vertical="center"/>
    </xf>
    <xf numFmtId="0" fontId="14" fillId="8" borderId="14" xfId="0" applyFont="1" applyFill="1" applyBorder="1" applyAlignment="1">
      <alignment horizontal="center" vertical="center"/>
    </xf>
    <xf numFmtId="166" fontId="14" fillId="8" borderId="14" xfId="1" applyNumberFormat="1" applyFont="1" applyFill="1" applyBorder="1" applyAlignment="1">
      <alignment vertical="center"/>
    </xf>
    <xf numFmtId="169" fontId="14" fillId="8" borderId="15" xfId="1" applyNumberFormat="1" applyFont="1" applyFill="1" applyBorder="1" applyAlignment="1">
      <alignment vertical="center"/>
    </xf>
    <xf numFmtId="0" fontId="17" fillId="0" borderId="16" xfId="0" applyFont="1" applyBorder="1" applyAlignment="1">
      <alignment horizontal="right" vertical="center"/>
    </xf>
    <xf numFmtId="0" fontId="14" fillId="0" borderId="17" xfId="0" applyFont="1" applyBorder="1" applyAlignment="1">
      <alignment horizontal="right" vertical="center"/>
    </xf>
    <xf numFmtId="0" fontId="20" fillId="0" borderId="18" xfId="0" applyFont="1" applyBorder="1" applyAlignment="1">
      <alignment horizontal="left" vertical="center" wrapText="1" indent="1"/>
    </xf>
    <xf numFmtId="168" fontId="20" fillId="0" borderId="19" xfId="1" applyNumberFormat="1" applyFont="1" applyBorder="1" applyAlignment="1">
      <alignment vertical="center"/>
    </xf>
    <xf numFmtId="0" fontId="20" fillId="0" borderId="20" xfId="0" applyFont="1" applyBorder="1" applyAlignment="1">
      <alignment horizontal="center" vertical="center"/>
    </xf>
    <xf numFmtId="166" fontId="9" fillId="0" borderId="20" xfId="1" applyNumberFormat="1" applyFont="1" applyBorder="1" applyAlignment="1">
      <alignment vertical="center"/>
    </xf>
    <xf numFmtId="169" fontId="14" fillId="0" borderId="21" xfId="1" applyNumberFormat="1" applyFont="1" applyBorder="1" applyAlignment="1">
      <alignment vertical="center"/>
    </xf>
    <xf numFmtId="0" fontId="17" fillId="8" borderId="16" xfId="0" applyFont="1" applyFill="1" applyBorder="1" applyAlignment="1">
      <alignment horizontal="right" vertical="center"/>
    </xf>
    <xf numFmtId="0" fontId="19" fillId="8" borderId="17" xfId="0" applyFont="1" applyFill="1" applyBorder="1" applyAlignment="1">
      <alignment horizontal="right" vertical="center"/>
    </xf>
    <xf numFmtId="0" fontId="21" fillId="8" borderId="18" xfId="0" applyFont="1" applyFill="1" applyBorder="1" applyAlignment="1">
      <alignment vertical="center" wrapText="1"/>
    </xf>
    <xf numFmtId="168" fontId="20" fillId="8" borderId="19" xfId="1" applyNumberFormat="1" applyFont="1" applyFill="1" applyBorder="1" applyAlignment="1">
      <alignment vertical="center"/>
    </xf>
    <xf numFmtId="0" fontId="20" fillId="8" borderId="20" xfId="0" applyFont="1" applyFill="1" applyBorder="1" applyAlignment="1">
      <alignment horizontal="center" vertical="center"/>
    </xf>
    <xf numFmtId="166" fontId="20" fillId="8" borderId="20" xfId="1" applyNumberFormat="1" applyFont="1" applyFill="1" applyBorder="1" applyAlignment="1">
      <alignment vertical="center"/>
    </xf>
    <xf numFmtId="169" fontId="20" fillId="8" borderId="21" xfId="1" applyNumberFormat="1" applyFont="1" applyFill="1" applyBorder="1" applyAlignment="1">
      <alignment vertical="center"/>
    </xf>
    <xf numFmtId="0" fontId="14" fillId="0" borderId="16" xfId="0" applyFont="1" applyBorder="1" applyAlignment="1">
      <alignment horizontal="right" vertical="center"/>
    </xf>
    <xf numFmtId="0" fontId="20" fillId="0" borderId="21" xfId="0" applyFont="1" applyBorder="1" applyAlignment="1">
      <alignment horizontal="left" vertical="center" wrapText="1" indent="1"/>
    </xf>
    <xf numFmtId="166" fontId="14" fillId="8" borderId="20" xfId="1" applyNumberFormat="1" applyFont="1" applyFill="1" applyBorder="1" applyAlignment="1">
      <alignment vertical="center"/>
    </xf>
    <xf numFmtId="169" fontId="14" fillId="8" borderId="21" xfId="1" applyNumberFormat="1" applyFont="1" applyFill="1" applyBorder="1" applyAlignment="1">
      <alignment vertical="center"/>
    </xf>
    <xf numFmtId="171" fontId="19" fillId="8" borderId="17" xfId="0" applyNumberFormat="1" applyFont="1" applyFill="1" applyBorder="1" applyAlignment="1">
      <alignment horizontal="right" vertical="center"/>
    </xf>
    <xf numFmtId="0" fontId="19" fillId="8" borderId="18" xfId="0" applyFont="1" applyFill="1" applyBorder="1" applyAlignment="1">
      <alignment vertical="center" wrapText="1"/>
    </xf>
    <xf numFmtId="0" fontId="14" fillId="0" borderId="21" xfId="0" applyFont="1" applyBorder="1" applyAlignment="1">
      <alignment horizontal="left" vertical="center" wrapText="1" indent="1"/>
    </xf>
    <xf numFmtId="168" fontId="20" fillId="0" borderId="18" xfId="1" applyNumberFormat="1" applyFont="1" applyBorder="1" applyAlignment="1">
      <alignment vertical="center"/>
    </xf>
    <xf numFmtId="2" fontId="14" fillId="0" borderId="17" xfId="0" applyNumberFormat="1" applyFont="1" applyBorder="1" applyAlignment="1">
      <alignment horizontal="right" vertical="center"/>
    </xf>
    <xf numFmtId="0" fontId="14" fillId="0" borderId="18" xfId="0" applyFont="1" applyBorder="1" applyAlignment="1">
      <alignment horizontal="left" vertical="center" wrapText="1" indent="1"/>
    </xf>
    <xf numFmtId="0" fontId="17" fillId="0" borderId="22" xfId="0" applyFont="1" applyBorder="1" applyAlignment="1">
      <alignment horizontal="right" vertical="center"/>
    </xf>
    <xf numFmtId="2" fontId="14" fillId="0" borderId="23" xfId="0" applyNumberFormat="1" applyFont="1" applyBorder="1" applyAlignment="1">
      <alignment horizontal="right" vertical="center"/>
    </xf>
    <xf numFmtId="0" fontId="14" fillId="0" borderId="24" xfId="0" applyFont="1" applyBorder="1" applyAlignment="1">
      <alignment horizontal="left" vertical="center" wrapText="1" indent="1"/>
    </xf>
    <xf numFmtId="168" fontId="20" fillId="0" borderId="25" xfId="1" applyNumberFormat="1" applyFont="1" applyBorder="1" applyAlignment="1">
      <alignment vertical="center"/>
    </xf>
    <xf numFmtId="0" fontId="20" fillId="0" borderId="26" xfId="0" applyFont="1" applyBorder="1" applyAlignment="1">
      <alignment horizontal="center" vertical="center"/>
    </xf>
    <xf numFmtId="166" fontId="9" fillId="0" borderId="26" xfId="1" applyNumberFormat="1" applyFont="1" applyBorder="1" applyAlignment="1">
      <alignment vertical="center"/>
    </xf>
    <xf numFmtId="169" fontId="14" fillId="0" borderId="24" xfId="1" applyNumberFormat="1" applyFont="1" applyBorder="1" applyAlignment="1">
      <alignment vertical="center"/>
    </xf>
    <xf numFmtId="168" fontId="18" fillId="0" borderId="19" xfId="1" applyNumberFormat="1" applyFont="1" applyBorder="1" applyAlignment="1">
      <alignment vertical="center"/>
    </xf>
    <xf numFmtId="168" fontId="18" fillId="0" borderId="18" xfId="1" applyNumberFormat="1" applyFont="1" applyBorder="1" applyAlignment="1">
      <alignment vertical="center"/>
    </xf>
    <xf numFmtId="168" fontId="18" fillId="0" borderId="25" xfId="1" applyNumberFormat="1" applyFont="1" applyBorder="1" applyAlignment="1">
      <alignment vertical="center"/>
    </xf>
    <xf numFmtId="166" fontId="13" fillId="9" borderId="1" xfId="0" applyNumberFormat="1" applyFont="1" applyFill="1" applyBorder="1" applyAlignment="1">
      <alignment horizontal="right" vertical="center"/>
    </xf>
  </cellXfs>
  <cellStyles count="4">
    <cellStyle name="Comma" xfId="1" builtinId="3"/>
    <cellStyle name="Comma 2" xfId="2" xr:uid="{00000000-0005-0000-0000-000006000000}"/>
    <cellStyle name="Normal" xfId="0" builtinId="0"/>
    <cellStyle name="Normal 2" xfId="3" xr:uid="{00000000-0005-0000-0000-000007000000}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C55A11"/>
      <rgbColor rgb="FF666699"/>
      <rgbColor rgb="FFA6A6A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16"/>
  <sheetViews>
    <sheetView showGridLines="0" zoomScaleNormal="100" workbookViewId="0">
      <selection activeCell="B10" sqref="B10"/>
    </sheetView>
  </sheetViews>
  <sheetFormatPr defaultColWidth="8.6640625" defaultRowHeight="14.4" x14ac:dyDescent="0.3"/>
  <cols>
    <col min="1" max="1" width="3" customWidth="1"/>
    <col min="2" max="2" width="114" customWidth="1"/>
  </cols>
  <sheetData>
    <row r="2" spans="2:2" ht="16.8" x14ac:dyDescent="0.3">
      <c r="B2" s="6" t="s">
        <v>0</v>
      </c>
    </row>
    <row r="3" spans="2:2" x14ac:dyDescent="0.3">
      <c r="B3" s="7" t="s">
        <v>1</v>
      </c>
    </row>
    <row r="6" spans="2:2" ht="13.5" customHeight="1" x14ac:dyDescent="0.3"/>
    <row r="7" spans="2:2" ht="18" customHeight="1" x14ac:dyDescent="0.3">
      <c r="B7" s="8" t="s">
        <v>2</v>
      </c>
    </row>
    <row r="8" spans="2:2" ht="18" customHeight="1" x14ac:dyDescent="0.3">
      <c r="B8" s="9" t="s">
        <v>3</v>
      </c>
    </row>
    <row r="9" spans="2:2" ht="43.5" customHeight="1" x14ac:dyDescent="0.3">
      <c r="B9" s="9" t="s">
        <v>4</v>
      </c>
    </row>
    <row r="10" spans="2:2" ht="30" customHeight="1" x14ac:dyDescent="0.3">
      <c r="B10" s="9" t="s">
        <v>5</v>
      </c>
    </row>
    <row r="11" spans="2:2" ht="30" customHeight="1" x14ac:dyDescent="0.3">
      <c r="B11" s="9" t="s">
        <v>6</v>
      </c>
    </row>
    <row r="12" spans="2:2" ht="30" customHeight="1" x14ac:dyDescent="0.3">
      <c r="B12" s="9" t="s">
        <v>7</v>
      </c>
    </row>
    <row r="13" spans="2:2" ht="43.5" customHeight="1" x14ac:dyDescent="0.3">
      <c r="B13" s="10" t="s">
        <v>8</v>
      </c>
    </row>
    <row r="14" spans="2:2" ht="18" customHeight="1" x14ac:dyDescent="0.3">
      <c r="B14" s="9" t="s">
        <v>9</v>
      </c>
    </row>
    <row r="15" spans="2:2" ht="43.5" customHeight="1" x14ac:dyDescent="0.3">
      <c r="B15" s="9" t="s">
        <v>10</v>
      </c>
    </row>
    <row r="16" spans="2:2" ht="18" customHeight="1" x14ac:dyDescent="0.3">
      <c r="B16" s="9" t="s">
        <v>11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13"/>
  <sheetViews>
    <sheetView showGridLines="0" zoomScaleNormal="100" workbookViewId="0"/>
  </sheetViews>
  <sheetFormatPr defaultColWidth="8.6640625" defaultRowHeight="14.4" x14ac:dyDescent="0.3"/>
  <cols>
    <col min="1" max="1" width="6" customWidth="1"/>
    <col min="2" max="2" width="52" customWidth="1"/>
    <col min="3" max="3" width="20" customWidth="1"/>
    <col min="4" max="4" width="6" customWidth="1"/>
  </cols>
  <sheetData>
    <row r="2" spans="2:3" ht="16.8" x14ac:dyDescent="0.3">
      <c r="B2" s="6" t="s">
        <v>12</v>
      </c>
    </row>
    <row r="3" spans="2:3" x14ac:dyDescent="0.3">
      <c r="B3" s="11" t="s">
        <v>13</v>
      </c>
    </row>
    <row r="5" spans="2:3" x14ac:dyDescent="0.3">
      <c r="B5" s="12" t="s">
        <v>14</v>
      </c>
      <c r="C5" s="13" t="s">
        <v>15</v>
      </c>
    </row>
    <row r="6" spans="2:3" x14ac:dyDescent="0.3">
      <c r="B6" s="14" t="s">
        <v>16</v>
      </c>
      <c r="C6" s="15">
        <f>'ST 1,2 RES BOQ '!F5</f>
        <v>1511718.4217987894</v>
      </c>
    </row>
    <row r="7" spans="2:3" x14ac:dyDescent="0.3">
      <c r="B7" s="14" t="s">
        <v>17</v>
      </c>
      <c r="C7" s="15">
        <f>'ST 3,4,5,6 RES BOQ  '!F5</f>
        <v>893178.50901622558</v>
      </c>
    </row>
    <row r="8" spans="2:3" x14ac:dyDescent="0.3">
      <c r="B8" s="16" t="s">
        <v>18</v>
      </c>
      <c r="C8" s="17">
        <f>C6+C7</f>
        <v>2404896.930815015</v>
      </c>
    </row>
    <row r="9" spans="2:3" x14ac:dyDescent="0.3">
      <c r="B9" s="14" t="s">
        <v>19</v>
      </c>
      <c r="C9" s="15">
        <f>C8*0.1</f>
        <v>240489.69308150152</v>
      </c>
    </row>
    <row r="10" spans="2:3" x14ac:dyDescent="0.3">
      <c r="B10" s="18" t="s">
        <v>20</v>
      </c>
      <c r="C10" s="19">
        <f>C8+C9</f>
        <v>2645386.6238965164</v>
      </c>
    </row>
    <row r="12" spans="2:3" x14ac:dyDescent="0.3">
      <c r="B12" s="20" t="s">
        <v>21</v>
      </c>
    </row>
    <row r="13" spans="2:3" x14ac:dyDescent="0.3">
      <c r="B13" s="20" t="s">
        <v>22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8"/>
  <sheetViews>
    <sheetView showGridLines="0" topLeftCell="A42" zoomScaleNormal="100" workbookViewId="0">
      <selection activeCell="B53" sqref="B53"/>
    </sheetView>
  </sheetViews>
  <sheetFormatPr defaultColWidth="8.6640625" defaultRowHeight="14.4" x14ac:dyDescent="0.3"/>
  <cols>
    <col min="1" max="1" width="50" customWidth="1"/>
    <col min="2" max="2" width="14" customWidth="1"/>
    <col min="3" max="3" width="12" customWidth="1"/>
    <col min="4" max="4" width="10" customWidth="1"/>
  </cols>
  <sheetData>
    <row r="1" spans="1:4" ht="16.8" x14ac:dyDescent="0.3">
      <c r="A1" s="6" t="s">
        <v>23</v>
      </c>
    </row>
    <row r="2" spans="1:4" x14ac:dyDescent="0.3">
      <c r="A2" s="11" t="s">
        <v>24</v>
      </c>
    </row>
    <row r="4" spans="1:4" x14ac:dyDescent="0.3">
      <c r="A4" s="12" t="s">
        <v>25</v>
      </c>
      <c r="B4" s="21"/>
      <c r="C4" s="21"/>
      <c r="D4" s="21"/>
    </row>
    <row r="5" spans="1:4" x14ac:dyDescent="0.3">
      <c r="A5" s="14" t="s">
        <v>26</v>
      </c>
      <c r="B5" s="22">
        <v>1231.1400000000001</v>
      </c>
      <c r="C5" s="23" t="s">
        <v>27</v>
      </c>
    </row>
    <row r="6" spans="1:4" x14ac:dyDescent="0.3">
      <c r="A6" s="14" t="s">
        <v>28</v>
      </c>
      <c r="B6" s="22">
        <v>941.16</v>
      </c>
      <c r="C6" s="23" t="s">
        <v>27</v>
      </c>
    </row>
    <row r="7" spans="1:4" x14ac:dyDescent="0.3">
      <c r="A7" s="14" t="s">
        <v>29</v>
      </c>
      <c r="B7" s="22">
        <v>768.07</v>
      </c>
      <c r="C7" s="23" t="s">
        <v>27</v>
      </c>
    </row>
    <row r="8" spans="1:4" x14ac:dyDescent="0.3">
      <c r="A8" s="14" t="s">
        <v>30</v>
      </c>
      <c r="B8" s="22">
        <v>2650.39</v>
      </c>
      <c r="C8" s="23" t="s">
        <v>27</v>
      </c>
    </row>
    <row r="10" spans="1:4" x14ac:dyDescent="0.3">
      <c r="A10" s="12" t="s">
        <v>31</v>
      </c>
      <c r="B10" s="21"/>
      <c r="C10" s="21"/>
      <c r="D10" s="21"/>
    </row>
    <row r="11" spans="1:4" x14ac:dyDescent="0.3">
      <c r="A11" s="14" t="s">
        <v>32</v>
      </c>
      <c r="B11" s="22">
        <v>314.29000000000002</v>
      </c>
      <c r="C11" s="23" t="s">
        <v>27</v>
      </c>
    </row>
    <row r="12" spans="1:4" x14ac:dyDescent="0.3">
      <c r="A12" s="14" t="s">
        <v>33</v>
      </c>
      <c r="B12" s="22">
        <v>261.17</v>
      </c>
      <c r="C12" s="23" t="s">
        <v>27</v>
      </c>
    </row>
    <row r="13" spans="1:4" x14ac:dyDescent="0.3">
      <c r="A13" s="14" t="s">
        <v>34</v>
      </c>
      <c r="B13" s="22">
        <v>171.43</v>
      </c>
      <c r="C13" s="23" t="s">
        <v>27</v>
      </c>
    </row>
    <row r="14" spans="1:4" x14ac:dyDescent="0.3">
      <c r="A14" s="14" t="s">
        <v>35</v>
      </c>
      <c r="B14" s="22">
        <v>165</v>
      </c>
      <c r="C14" s="23" t="s">
        <v>27</v>
      </c>
    </row>
    <row r="15" spans="1:4" x14ac:dyDescent="0.3">
      <c r="A15" s="14" t="s">
        <v>36</v>
      </c>
      <c r="B15" s="22">
        <v>34.29</v>
      </c>
      <c r="C15" s="23" t="s">
        <v>27</v>
      </c>
    </row>
    <row r="16" spans="1:4" x14ac:dyDescent="0.3">
      <c r="A16" s="14" t="s">
        <v>37</v>
      </c>
      <c r="B16" s="22">
        <v>350</v>
      </c>
      <c r="C16" s="23" t="s">
        <v>27</v>
      </c>
    </row>
    <row r="17" spans="1:4" x14ac:dyDescent="0.3">
      <c r="A17" s="14" t="s">
        <v>38</v>
      </c>
      <c r="B17" s="22">
        <v>850</v>
      </c>
      <c r="C17" s="23" t="s">
        <v>27</v>
      </c>
    </row>
    <row r="18" spans="1:4" x14ac:dyDescent="0.3">
      <c r="A18" s="14" t="s">
        <v>39</v>
      </c>
      <c r="B18" s="24">
        <v>0.15</v>
      </c>
      <c r="C18" s="23" t="s">
        <v>40</v>
      </c>
    </row>
    <row r="20" spans="1:4" x14ac:dyDescent="0.3">
      <c r="A20" s="12" t="s">
        <v>41</v>
      </c>
      <c r="B20" s="21"/>
      <c r="C20" s="21"/>
      <c r="D20" s="21"/>
    </row>
    <row r="21" spans="1:4" x14ac:dyDescent="0.3">
      <c r="A21" s="18" t="s">
        <v>42</v>
      </c>
      <c r="B21" s="25">
        <f>B8+(B11+B13+B14+B15)*(1+B18)</f>
        <v>3438.1514999999999</v>
      </c>
      <c r="C21" s="23" t="s">
        <v>27</v>
      </c>
    </row>
    <row r="22" spans="1:4" x14ac:dyDescent="0.3">
      <c r="A22" s="18" t="s">
        <v>43</v>
      </c>
      <c r="B22" s="25">
        <f>B8+(B12+B13)*(1+B18)</f>
        <v>3147.88</v>
      </c>
      <c r="C22" s="23" t="s">
        <v>27</v>
      </c>
    </row>
    <row r="24" spans="1:4" x14ac:dyDescent="0.3">
      <c r="A24" s="12" t="s">
        <v>44</v>
      </c>
      <c r="B24" s="21"/>
      <c r="C24" s="21"/>
      <c r="D24" s="21"/>
    </row>
    <row r="25" spans="1:4" x14ac:dyDescent="0.3">
      <c r="A25" s="14" t="s">
        <v>45</v>
      </c>
      <c r="B25" s="22">
        <v>25.5</v>
      </c>
      <c r="C25" s="23" t="s">
        <v>46</v>
      </c>
    </row>
    <row r="26" spans="1:4" x14ac:dyDescent="0.3">
      <c r="A26" s="14" t="s">
        <v>47</v>
      </c>
      <c r="B26" s="22">
        <v>95.1</v>
      </c>
      <c r="C26" s="23" t="s">
        <v>46</v>
      </c>
    </row>
    <row r="27" spans="1:4" x14ac:dyDescent="0.3">
      <c r="A27" s="14" t="s">
        <v>48</v>
      </c>
      <c r="B27" s="22">
        <v>39.75</v>
      </c>
      <c r="C27" s="23" t="s">
        <v>49</v>
      </c>
    </row>
    <row r="28" spans="1:4" x14ac:dyDescent="0.3">
      <c r="A28" s="18" t="s">
        <v>50</v>
      </c>
      <c r="B28" s="25">
        <f>B44</f>
        <v>4135.16</v>
      </c>
      <c r="C28" s="23" t="s">
        <v>51</v>
      </c>
    </row>
    <row r="29" spans="1:4" x14ac:dyDescent="0.3">
      <c r="A29" s="18" t="s">
        <v>52</v>
      </c>
      <c r="B29" s="25">
        <f>B45</f>
        <v>5603.49</v>
      </c>
      <c r="C29" s="23" t="s">
        <v>51</v>
      </c>
    </row>
    <row r="30" spans="1:4" x14ac:dyDescent="0.3">
      <c r="A30" s="18" t="s">
        <v>53</v>
      </c>
      <c r="B30" s="25">
        <f>B46</f>
        <v>7071.82</v>
      </c>
      <c r="C30" s="23" t="s">
        <v>51</v>
      </c>
    </row>
    <row r="31" spans="1:4" x14ac:dyDescent="0.3">
      <c r="A31" s="14" t="s">
        <v>54</v>
      </c>
      <c r="B31" s="22">
        <v>950</v>
      </c>
      <c r="C31" s="23" t="s">
        <v>51</v>
      </c>
    </row>
    <row r="32" spans="1:4" x14ac:dyDescent="0.3">
      <c r="A32" s="14" t="s">
        <v>55</v>
      </c>
      <c r="B32" s="22">
        <v>80.72</v>
      </c>
      <c r="C32" s="23" t="s">
        <v>51</v>
      </c>
    </row>
    <row r="33" spans="1:4" x14ac:dyDescent="0.3">
      <c r="A33" s="14" t="s">
        <v>56</v>
      </c>
      <c r="B33" s="22">
        <v>71.45</v>
      </c>
      <c r="C33" s="23" t="s">
        <v>51</v>
      </c>
    </row>
    <row r="34" spans="1:4" x14ac:dyDescent="0.3">
      <c r="A34" s="14" t="s">
        <v>57</v>
      </c>
      <c r="B34" s="22">
        <v>3</v>
      </c>
      <c r="C34" s="23" t="s">
        <v>46</v>
      </c>
    </row>
    <row r="36" spans="1:4" x14ac:dyDescent="0.3">
      <c r="A36" s="12" t="s">
        <v>58</v>
      </c>
      <c r="B36" s="21"/>
      <c r="C36" s="21"/>
      <c r="D36" s="21"/>
    </row>
    <row r="37" spans="1:4" x14ac:dyDescent="0.3">
      <c r="A37" s="14" t="s">
        <v>59</v>
      </c>
      <c r="B37" s="22">
        <v>722.4</v>
      </c>
      <c r="C37" s="23" t="s">
        <v>51</v>
      </c>
    </row>
    <row r="38" spans="1:4" x14ac:dyDescent="0.3">
      <c r="A38" s="14" t="s">
        <v>60</v>
      </c>
      <c r="B38" s="22">
        <v>1468.33</v>
      </c>
      <c r="C38" s="23" t="s">
        <v>51</v>
      </c>
    </row>
    <row r="39" spans="1:4" x14ac:dyDescent="0.3">
      <c r="A39" s="14" t="s">
        <v>61</v>
      </c>
      <c r="B39" s="22">
        <v>449.9</v>
      </c>
      <c r="C39" s="23" t="s">
        <v>51</v>
      </c>
    </row>
    <row r="40" spans="1:4" x14ac:dyDescent="0.3">
      <c r="A40" s="14" t="s">
        <v>62</v>
      </c>
      <c r="B40" s="22">
        <v>765.02</v>
      </c>
      <c r="C40" s="23" t="s">
        <v>51</v>
      </c>
    </row>
    <row r="41" spans="1:4" x14ac:dyDescent="0.3">
      <c r="A41" s="14" t="s">
        <v>63</v>
      </c>
      <c r="B41" s="22">
        <v>799</v>
      </c>
      <c r="C41" s="23" t="s">
        <v>51</v>
      </c>
    </row>
    <row r="42" spans="1:4" x14ac:dyDescent="0.3">
      <c r="A42" s="14" t="s">
        <v>64</v>
      </c>
      <c r="B42" s="22">
        <v>380.41</v>
      </c>
      <c r="C42" s="23" t="s">
        <v>51</v>
      </c>
    </row>
    <row r="44" spans="1:4" x14ac:dyDescent="0.3">
      <c r="A44" s="18" t="s">
        <v>65</v>
      </c>
      <c r="B44" s="25">
        <f>B37+B38+B40+B41+B42</f>
        <v>4135.16</v>
      </c>
      <c r="C44" s="23" t="s">
        <v>51</v>
      </c>
    </row>
    <row r="45" spans="1:4" x14ac:dyDescent="0.3">
      <c r="A45" s="18" t="s">
        <v>66</v>
      </c>
      <c r="B45" s="25">
        <f>B37+2*B38+B40+B41+B42</f>
        <v>5603.49</v>
      </c>
      <c r="C45" s="23" t="s">
        <v>51</v>
      </c>
    </row>
    <row r="46" spans="1:4" x14ac:dyDescent="0.3">
      <c r="A46" s="18" t="s">
        <v>67</v>
      </c>
      <c r="B46" s="25">
        <f>B37+3*B38+B40+B41+B42</f>
        <v>7071.82</v>
      </c>
      <c r="C46" s="23" t="s">
        <v>51</v>
      </c>
    </row>
    <row r="48" spans="1:4" x14ac:dyDescent="0.3">
      <c r="A48" s="12" t="s">
        <v>68</v>
      </c>
      <c r="B48" s="21"/>
      <c r="C48" s="21"/>
      <c r="D48" s="21"/>
    </row>
    <row r="49" spans="1:3" x14ac:dyDescent="0.3">
      <c r="A49" s="14" t="s">
        <v>69</v>
      </c>
      <c r="B49" s="24">
        <v>0.1</v>
      </c>
      <c r="C49" s="23" t="s">
        <v>40</v>
      </c>
    </row>
    <row r="50" spans="1:3" x14ac:dyDescent="0.3">
      <c r="A50" s="14" t="s">
        <v>70</v>
      </c>
      <c r="B50" s="24">
        <v>0.05</v>
      </c>
      <c r="C50" s="23" t="s">
        <v>40</v>
      </c>
    </row>
    <row r="51" spans="1:3" x14ac:dyDescent="0.3">
      <c r="A51" s="14" t="s">
        <v>71</v>
      </c>
      <c r="B51" s="24">
        <v>0.18</v>
      </c>
      <c r="C51" s="23" t="s">
        <v>40</v>
      </c>
    </row>
    <row r="52" spans="1:3" x14ac:dyDescent="0.3">
      <c r="A52" s="14" t="s">
        <v>72</v>
      </c>
      <c r="B52" s="24">
        <v>0.15</v>
      </c>
      <c r="C52" s="23" t="s">
        <v>40</v>
      </c>
    </row>
    <row r="53" spans="1:3" x14ac:dyDescent="0.3">
      <c r="A53" s="14" t="s">
        <v>73</v>
      </c>
      <c r="B53" s="26">
        <v>0.35</v>
      </c>
      <c r="C53" s="23" t="s">
        <v>74</v>
      </c>
    </row>
    <row r="54" spans="1:3" x14ac:dyDescent="0.3">
      <c r="A54" s="14" t="s">
        <v>75</v>
      </c>
      <c r="B54" s="24">
        <v>0.1</v>
      </c>
      <c r="C54" s="23" t="s">
        <v>40</v>
      </c>
    </row>
    <row r="56" spans="1:3" x14ac:dyDescent="0.3">
      <c r="A56" s="27" t="s">
        <v>76</v>
      </c>
    </row>
    <row r="57" spans="1:3" x14ac:dyDescent="0.3">
      <c r="A57" s="28" t="s">
        <v>77</v>
      </c>
    </row>
    <row r="58" spans="1:3" x14ac:dyDescent="0.3">
      <c r="A58" s="29" t="s">
        <v>78</v>
      </c>
    </row>
  </sheetData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5"/>
  <sheetViews>
    <sheetView showGridLines="0" topLeftCell="A32" zoomScaleNormal="100" workbookViewId="0">
      <selection activeCell="O16" sqref="O16"/>
    </sheetView>
  </sheetViews>
  <sheetFormatPr defaultColWidth="8.6640625" defaultRowHeight="14.4" x14ac:dyDescent="0.3"/>
  <cols>
    <col min="1" max="1" width="9" customWidth="1"/>
    <col min="2" max="2" width="34" customWidth="1"/>
    <col min="3" max="3" width="6" customWidth="1"/>
    <col min="4" max="4" width="10" customWidth="1"/>
    <col min="5" max="7" width="12" customWidth="1"/>
    <col min="8" max="8" width="13" customWidth="1"/>
    <col min="9" max="11" width="12" customWidth="1"/>
    <col min="12" max="12" width="11" customWidth="1"/>
    <col min="13" max="13" width="13" customWidth="1"/>
  </cols>
  <sheetData>
    <row r="1" spans="1:13" ht="16.8" x14ac:dyDescent="0.3">
      <c r="A1" s="6" t="s">
        <v>79</v>
      </c>
    </row>
    <row r="2" spans="1:13" x14ac:dyDescent="0.3">
      <c r="A2" s="11" t="s">
        <v>80</v>
      </c>
    </row>
    <row r="4" spans="1:13" ht="30" customHeight="1" x14ac:dyDescent="0.3">
      <c r="A4" s="30" t="s">
        <v>81</v>
      </c>
      <c r="B4" s="30" t="s">
        <v>82</v>
      </c>
      <c r="C4" s="30" t="s">
        <v>83</v>
      </c>
      <c r="D4" s="30" t="s">
        <v>84</v>
      </c>
      <c r="E4" s="30" t="s">
        <v>85</v>
      </c>
      <c r="F4" s="30" t="s">
        <v>86</v>
      </c>
      <c r="G4" s="30" t="s">
        <v>87</v>
      </c>
      <c r="H4" s="30" t="s">
        <v>88</v>
      </c>
      <c r="I4" s="30" t="s">
        <v>89</v>
      </c>
      <c r="J4" s="30" t="s">
        <v>90</v>
      </c>
      <c r="K4" s="30" t="s">
        <v>91</v>
      </c>
      <c r="L4" s="30" t="s">
        <v>92</v>
      </c>
      <c r="M4" s="30" t="s">
        <v>93</v>
      </c>
    </row>
    <row r="5" spans="1:13" x14ac:dyDescent="0.3">
      <c r="A5" s="23" t="s">
        <v>94</v>
      </c>
      <c r="B5" s="14" t="s">
        <v>95</v>
      </c>
      <c r="C5" s="23" t="s">
        <v>96</v>
      </c>
      <c r="D5" s="26">
        <v>59.5</v>
      </c>
      <c r="E5" s="15">
        <f>'Rate Library'!$B$21</f>
        <v>3438.1514999999999</v>
      </c>
      <c r="F5" s="31">
        <f t="shared" ref="F5:F21" si="0">E5/D5</f>
        <v>57.784058823529413</v>
      </c>
      <c r="G5" s="31">
        <f>'Rate Library'!$B$25*(1+'Rate Library'!$B$54)</f>
        <v>28.05</v>
      </c>
      <c r="H5" s="31">
        <f>'Rate Library'!$B$53*'Rate Library'!$B$27+'Rate Library'!$B$34</f>
        <v>16.912500000000001</v>
      </c>
      <c r="I5" s="31">
        <f t="shared" ref="I5:I21" si="1">F5+G5+H5</f>
        <v>102.74655882352943</v>
      </c>
      <c r="J5" s="31">
        <f>I5*('Rate Library'!$B$49+'Rate Library'!$B$50+'Rate Library'!$B$51)</f>
        <v>33.906364411764713</v>
      </c>
      <c r="K5" s="31">
        <f t="shared" ref="K5:K21" si="2">I5+J5</f>
        <v>136.65292323529414</v>
      </c>
      <c r="L5" s="31">
        <f>K5*'Rate Library'!$B$52</f>
        <v>20.497938485294121</v>
      </c>
      <c r="M5" s="32">
        <f t="shared" ref="M5:M21" si="3">K5+L5</f>
        <v>157.15086172058827</v>
      </c>
    </row>
    <row r="6" spans="1:13" x14ac:dyDescent="0.3">
      <c r="A6" s="23" t="s">
        <v>97</v>
      </c>
      <c r="B6" s="14" t="s">
        <v>98</v>
      </c>
      <c r="C6" s="23" t="s">
        <v>96</v>
      </c>
      <c r="D6" s="26">
        <v>40.799999999999997</v>
      </c>
      <c r="E6" s="15">
        <f>'Rate Library'!$B$21</f>
        <v>3438.1514999999999</v>
      </c>
      <c r="F6" s="31">
        <f t="shared" si="0"/>
        <v>84.268419117647056</v>
      </c>
      <c r="G6" s="31">
        <f>'Rate Library'!$B$25*(1+'Rate Library'!$B$54)</f>
        <v>28.05</v>
      </c>
      <c r="H6" s="31">
        <f>'Rate Library'!$B$53*'Rate Library'!$B$27+'Rate Library'!$B$34+'Rate Library'!$B$16/D6</f>
        <v>25.490931372549021</v>
      </c>
      <c r="I6" s="31">
        <f t="shared" si="1"/>
        <v>137.80935049019607</v>
      </c>
      <c r="J6" s="31">
        <f>I6*('Rate Library'!$B$49+'Rate Library'!$B$50+'Rate Library'!$B$51)</f>
        <v>45.477085661764704</v>
      </c>
      <c r="K6" s="31">
        <f t="shared" si="2"/>
        <v>183.28643615196077</v>
      </c>
      <c r="L6" s="31">
        <f>K6*'Rate Library'!$B$52</f>
        <v>27.492965422794114</v>
      </c>
      <c r="M6" s="32">
        <f t="shared" si="3"/>
        <v>210.7794015747549</v>
      </c>
    </row>
    <row r="7" spans="1:13" x14ac:dyDescent="0.3">
      <c r="A7" s="23" t="s">
        <v>99</v>
      </c>
      <c r="B7" s="14" t="s">
        <v>100</v>
      </c>
      <c r="C7" s="23" t="s">
        <v>96</v>
      </c>
      <c r="D7" s="26">
        <v>22.1</v>
      </c>
      <c r="E7" s="15">
        <f>'Rate Library'!$B$21</f>
        <v>3438.1514999999999</v>
      </c>
      <c r="F7" s="31">
        <f t="shared" si="0"/>
        <v>155.5724660633484</v>
      </c>
      <c r="G7" s="31">
        <f>'Rate Library'!$B$25*(1+'Rate Library'!$B$54)</f>
        <v>28.05</v>
      </c>
      <c r="H7" s="31">
        <f>'Rate Library'!$B$53*'Rate Library'!$B$27+'Rate Library'!$B$34+'Rate Library'!$B$16/D7</f>
        <v>32.749604072398192</v>
      </c>
      <c r="I7" s="31">
        <f t="shared" si="1"/>
        <v>216.37207013574661</v>
      </c>
      <c r="J7" s="31">
        <f>I7*('Rate Library'!$B$49+'Rate Library'!$B$50+'Rate Library'!$B$51)</f>
        <v>71.402783144796388</v>
      </c>
      <c r="K7" s="31">
        <f t="shared" si="2"/>
        <v>287.77485328054297</v>
      </c>
      <c r="L7" s="31">
        <f>K7*'Rate Library'!$B$52</f>
        <v>43.166227992081446</v>
      </c>
      <c r="M7" s="32">
        <f t="shared" si="3"/>
        <v>330.94108127262439</v>
      </c>
    </row>
    <row r="8" spans="1:13" x14ac:dyDescent="0.3">
      <c r="A8" s="23" t="s">
        <v>101</v>
      </c>
      <c r="B8" s="14" t="s">
        <v>102</v>
      </c>
      <c r="C8" s="23" t="s">
        <v>96</v>
      </c>
      <c r="D8" s="26">
        <v>34</v>
      </c>
      <c r="E8" s="15">
        <f>'Rate Library'!$B$21</f>
        <v>3438.1514999999999</v>
      </c>
      <c r="F8" s="31">
        <f t="shared" si="0"/>
        <v>101.12210294117646</v>
      </c>
      <c r="G8" s="31">
        <f>'Rate Library'!$B$26*(1+'Rate Library'!$B$54)</f>
        <v>104.61</v>
      </c>
      <c r="H8" s="31">
        <f>'Rate Library'!$B$53*'Rate Library'!$B$27+'Rate Library'!$B$34+'Rate Library'!$B$16/D8</f>
        <v>27.206617647058827</v>
      </c>
      <c r="I8" s="31">
        <f t="shared" si="1"/>
        <v>232.9387205882353</v>
      </c>
      <c r="J8" s="31">
        <f>I8*('Rate Library'!$B$49+'Rate Library'!$B$50+'Rate Library'!$B$51)</f>
        <v>76.869777794117653</v>
      </c>
      <c r="K8" s="31">
        <f t="shared" si="2"/>
        <v>309.80849838235292</v>
      </c>
      <c r="L8" s="31">
        <f>K8*'Rate Library'!$B$52</f>
        <v>46.471274757352937</v>
      </c>
      <c r="M8" s="32">
        <f t="shared" si="3"/>
        <v>356.27977313970587</v>
      </c>
    </row>
    <row r="9" spans="1:13" x14ac:dyDescent="0.3">
      <c r="A9" s="23" t="s">
        <v>103</v>
      </c>
      <c r="B9" s="14" t="s">
        <v>104</v>
      </c>
      <c r="C9" s="23" t="s">
        <v>96</v>
      </c>
      <c r="D9" s="26">
        <v>18.7</v>
      </c>
      <c r="E9" s="15">
        <f>'Rate Library'!$B$21</f>
        <v>3438.1514999999999</v>
      </c>
      <c r="F9" s="31">
        <f t="shared" si="0"/>
        <v>183.85836898395723</v>
      </c>
      <c r="G9" s="31">
        <f>'Rate Library'!$B$26*(1+'Rate Library'!$B$54)</f>
        <v>104.61</v>
      </c>
      <c r="H9" s="31">
        <f>'Rate Library'!$B$53*'Rate Library'!$B$27+'Rate Library'!$B$34+'Rate Library'!$B$16/D9</f>
        <v>35.629077540106955</v>
      </c>
      <c r="I9" s="31">
        <f t="shared" si="1"/>
        <v>324.0974465240642</v>
      </c>
      <c r="J9" s="31">
        <f>I9*('Rate Library'!$B$49+'Rate Library'!$B$50+'Rate Library'!$B$51)</f>
        <v>106.95215735294119</v>
      </c>
      <c r="K9" s="31">
        <f t="shared" si="2"/>
        <v>431.04960387700538</v>
      </c>
      <c r="L9" s="31">
        <f>K9*'Rate Library'!$B$52</f>
        <v>64.657440581550802</v>
      </c>
      <c r="M9" s="32">
        <f t="shared" si="3"/>
        <v>495.7070444585562</v>
      </c>
    </row>
    <row r="10" spans="1:13" ht="26.4" x14ac:dyDescent="0.3">
      <c r="A10" s="23" t="s">
        <v>105</v>
      </c>
      <c r="B10" s="14" t="s">
        <v>106</v>
      </c>
      <c r="C10" s="23" t="s">
        <v>96</v>
      </c>
      <c r="D10" s="26">
        <v>25.5</v>
      </c>
      <c r="E10" s="15">
        <f>'Rate Library'!$B$17</f>
        <v>850</v>
      </c>
      <c r="F10" s="31">
        <f t="shared" si="0"/>
        <v>33.333333333333336</v>
      </c>
      <c r="G10" s="31">
        <v>0</v>
      </c>
      <c r="H10" s="31">
        <v>0</v>
      </c>
      <c r="I10" s="31">
        <f t="shared" si="1"/>
        <v>33.333333333333336</v>
      </c>
      <c r="J10" s="31">
        <f>I10*('Rate Library'!$B$49+'Rate Library'!$B$50+'Rate Library'!$B$51)</f>
        <v>11.000000000000002</v>
      </c>
      <c r="K10" s="31">
        <f t="shared" si="2"/>
        <v>44.333333333333336</v>
      </c>
      <c r="L10" s="31">
        <f>K10*'Rate Library'!$B$52</f>
        <v>6.65</v>
      </c>
      <c r="M10" s="33">
        <f t="shared" si="3"/>
        <v>50.983333333333334</v>
      </c>
    </row>
    <row r="11" spans="1:13" x14ac:dyDescent="0.3">
      <c r="A11" s="23" t="s">
        <v>107</v>
      </c>
      <c r="B11" s="14" t="s">
        <v>108</v>
      </c>
      <c r="C11" s="23" t="s">
        <v>109</v>
      </c>
      <c r="D11" s="26">
        <v>2.13</v>
      </c>
      <c r="E11" s="15">
        <f>'Rate Library'!$B$22</f>
        <v>3147.88</v>
      </c>
      <c r="F11" s="31">
        <f t="shared" si="0"/>
        <v>1477.8779342723005</v>
      </c>
      <c r="G11" s="31">
        <f>'Rate Library'!$B$28*(1+'Rate Library'!$B$54)</f>
        <v>4548.6760000000004</v>
      </c>
      <c r="H11" s="31">
        <f>150</f>
        <v>150</v>
      </c>
      <c r="I11" s="31">
        <f t="shared" si="1"/>
        <v>6176.5539342723005</v>
      </c>
      <c r="J11" s="31">
        <f>I11*('Rate Library'!$B$49+'Rate Library'!$B$50+'Rate Library'!$B$51)</f>
        <v>2038.2627983098594</v>
      </c>
      <c r="K11" s="31">
        <f t="shared" si="2"/>
        <v>8214.8167325821596</v>
      </c>
      <c r="L11" s="31">
        <f>K11*'Rate Library'!$B$52</f>
        <v>1232.2225098873239</v>
      </c>
      <c r="M11" s="32">
        <f t="shared" si="3"/>
        <v>9447.0392424694837</v>
      </c>
    </row>
    <row r="12" spans="1:13" x14ac:dyDescent="0.3">
      <c r="A12" s="23" t="s">
        <v>110</v>
      </c>
      <c r="B12" s="14" t="s">
        <v>111</v>
      </c>
      <c r="C12" s="23" t="s">
        <v>109</v>
      </c>
      <c r="D12" s="26">
        <v>1.28</v>
      </c>
      <c r="E12" s="15">
        <f>'Rate Library'!$B$22</f>
        <v>3147.88</v>
      </c>
      <c r="F12" s="31">
        <f t="shared" si="0"/>
        <v>2459.28125</v>
      </c>
      <c r="G12" s="31">
        <f>'Rate Library'!$B$29*(1+'Rate Library'!$B$54)</f>
        <v>6163.8389999999999</v>
      </c>
      <c r="H12" s="31">
        <f>150+'Rate Library'!$B$16/D12</f>
        <v>423.4375</v>
      </c>
      <c r="I12" s="31">
        <f t="shared" si="1"/>
        <v>9046.5577499999999</v>
      </c>
      <c r="J12" s="31">
        <f>I12*('Rate Library'!$B$49+'Rate Library'!$B$50+'Rate Library'!$B$51)</f>
        <v>2985.3640574999999</v>
      </c>
      <c r="K12" s="31">
        <f t="shared" si="2"/>
        <v>12031.921807499999</v>
      </c>
      <c r="L12" s="31">
        <f>K12*'Rate Library'!$B$52</f>
        <v>1804.7882711249997</v>
      </c>
      <c r="M12" s="32">
        <f t="shared" si="3"/>
        <v>13836.710078624999</v>
      </c>
    </row>
    <row r="13" spans="1:13" x14ac:dyDescent="0.3">
      <c r="A13" s="23" t="s">
        <v>112</v>
      </c>
      <c r="B13" s="14" t="s">
        <v>113</v>
      </c>
      <c r="C13" s="23" t="s">
        <v>109</v>
      </c>
      <c r="D13" s="26">
        <v>0.68</v>
      </c>
      <c r="E13" s="15">
        <f>'Rate Library'!$B$22</f>
        <v>3147.88</v>
      </c>
      <c r="F13" s="31">
        <f t="shared" si="0"/>
        <v>4629.2352941176468</v>
      </c>
      <c r="G13" s="31">
        <f>'Rate Library'!$B$30*(1+'Rate Library'!$B$54)</f>
        <v>7779.0020000000004</v>
      </c>
      <c r="H13" s="31">
        <f>150+'Rate Library'!$B$16/D13</f>
        <v>664.7058823529411</v>
      </c>
      <c r="I13" s="31">
        <f t="shared" si="1"/>
        <v>13072.943176470588</v>
      </c>
      <c r="J13" s="31">
        <f>I13*('Rate Library'!$B$49+'Rate Library'!$B$50+'Rate Library'!$B$51)</f>
        <v>4314.0712482352938</v>
      </c>
      <c r="K13" s="31">
        <f t="shared" si="2"/>
        <v>17387.014424705882</v>
      </c>
      <c r="L13" s="31">
        <f>K13*'Rate Library'!$B$52</f>
        <v>2608.0521637058823</v>
      </c>
      <c r="M13" s="32">
        <f t="shared" si="3"/>
        <v>19995.066588411762</v>
      </c>
    </row>
    <row r="14" spans="1:13" x14ac:dyDescent="0.3">
      <c r="A14" s="23" t="s">
        <v>114</v>
      </c>
      <c r="B14" s="14" t="s">
        <v>115</v>
      </c>
      <c r="C14" s="23" t="s">
        <v>109</v>
      </c>
      <c r="D14" s="26">
        <v>2.5499999999999998</v>
      </c>
      <c r="E14" s="15">
        <f>'Rate Library'!$B$22</f>
        <v>3147.88</v>
      </c>
      <c r="F14" s="31">
        <f t="shared" si="0"/>
        <v>1234.4627450980392</v>
      </c>
      <c r="G14" s="31">
        <f>'Rate Library'!$B$31*(1+'Rate Library'!$B$54)</f>
        <v>1045</v>
      </c>
      <c r="H14" s="31">
        <f>80</f>
        <v>80</v>
      </c>
      <c r="I14" s="31">
        <f t="shared" si="1"/>
        <v>2359.4627450980392</v>
      </c>
      <c r="J14" s="31">
        <f>I14*('Rate Library'!$B$49+'Rate Library'!$B$50+'Rate Library'!$B$51)</f>
        <v>778.62270588235299</v>
      </c>
      <c r="K14" s="31">
        <f t="shared" si="2"/>
        <v>3138.0854509803921</v>
      </c>
      <c r="L14" s="31">
        <f>K14*'Rate Library'!$B$52</f>
        <v>470.71281764705878</v>
      </c>
      <c r="M14" s="32">
        <f t="shared" si="3"/>
        <v>3608.7982686274509</v>
      </c>
    </row>
    <row r="15" spans="1:13" x14ac:dyDescent="0.3">
      <c r="A15" s="23" t="s">
        <v>116</v>
      </c>
      <c r="B15" s="14" t="s">
        <v>117</v>
      </c>
      <c r="C15" s="23" t="s">
        <v>109</v>
      </c>
      <c r="D15" s="26">
        <v>1.7</v>
      </c>
      <c r="E15" s="15">
        <f>'Rate Library'!$B$22</f>
        <v>3147.88</v>
      </c>
      <c r="F15" s="31">
        <f t="shared" si="0"/>
        <v>1851.6941176470589</v>
      </c>
      <c r="G15" s="31">
        <f>'Rate Library'!$B$31*(1+'Rate Library'!$B$54)</f>
        <v>1045</v>
      </c>
      <c r="H15" s="31">
        <f>80+'Rate Library'!$B$16/D15</f>
        <v>285.88235294117646</v>
      </c>
      <c r="I15" s="31">
        <f t="shared" si="1"/>
        <v>3182.5764705882357</v>
      </c>
      <c r="J15" s="31">
        <f>I15*('Rate Library'!$B$49+'Rate Library'!$B$50+'Rate Library'!$B$51)</f>
        <v>1050.2502352941178</v>
      </c>
      <c r="K15" s="31">
        <f t="shared" si="2"/>
        <v>4232.8267058823531</v>
      </c>
      <c r="L15" s="31">
        <f>K15*'Rate Library'!$B$52</f>
        <v>634.92400588235296</v>
      </c>
      <c r="M15" s="32">
        <f t="shared" si="3"/>
        <v>4867.7507117647056</v>
      </c>
    </row>
    <row r="16" spans="1:13" x14ac:dyDescent="0.3">
      <c r="A16" s="23" t="s">
        <v>118</v>
      </c>
      <c r="B16" s="14" t="s">
        <v>119</v>
      </c>
      <c r="C16" s="23" t="s">
        <v>109</v>
      </c>
      <c r="D16" s="26">
        <v>6.8</v>
      </c>
      <c r="E16" s="15">
        <f>'Rate Library'!$B$22</f>
        <v>3147.88</v>
      </c>
      <c r="F16" s="31">
        <f t="shared" si="0"/>
        <v>462.92352941176472</v>
      </c>
      <c r="G16" s="31">
        <f>'Rate Library'!$B$32*(1+'Rate Library'!$B$54)</f>
        <v>88.792000000000002</v>
      </c>
      <c r="H16" s="31">
        <f>50</f>
        <v>50</v>
      </c>
      <c r="I16" s="31">
        <f t="shared" si="1"/>
        <v>601.71552941176469</v>
      </c>
      <c r="J16" s="31">
        <f>I16*('Rate Library'!$B$49+'Rate Library'!$B$50+'Rate Library'!$B$51)</f>
        <v>198.56612470588234</v>
      </c>
      <c r="K16" s="31">
        <f t="shared" si="2"/>
        <v>800.28165411764701</v>
      </c>
      <c r="L16" s="31">
        <f>K16*'Rate Library'!$B$52</f>
        <v>120.04224811764705</v>
      </c>
      <c r="M16" s="32">
        <f t="shared" si="3"/>
        <v>920.3239022352941</v>
      </c>
    </row>
    <row r="17" spans="1:13" x14ac:dyDescent="0.3">
      <c r="A17" s="23" t="s">
        <v>120</v>
      </c>
      <c r="B17" s="14" t="s">
        <v>121</v>
      </c>
      <c r="C17" s="23" t="s">
        <v>109</v>
      </c>
      <c r="D17" s="26">
        <v>5.0999999999999996</v>
      </c>
      <c r="E17" s="15">
        <f>'Rate Library'!$B$22</f>
        <v>3147.88</v>
      </c>
      <c r="F17" s="31">
        <f t="shared" si="0"/>
        <v>617.23137254901962</v>
      </c>
      <c r="G17" s="31">
        <f>'Rate Library'!$B$32*(1+'Rate Library'!$B$54)</f>
        <v>88.792000000000002</v>
      </c>
      <c r="H17" s="31">
        <f>50</f>
        <v>50</v>
      </c>
      <c r="I17" s="31">
        <f t="shared" si="1"/>
        <v>756.02337254901965</v>
      </c>
      <c r="J17" s="31">
        <f>I17*('Rate Library'!$B$49+'Rate Library'!$B$50+'Rate Library'!$B$51)</f>
        <v>249.48771294117651</v>
      </c>
      <c r="K17" s="31">
        <f t="shared" si="2"/>
        <v>1005.5110854901961</v>
      </c>
      <c r="L17" s="31">
        <f>K17*'Rate Library'!$B$52</f>
        <v>150.8266628235294</v>
      </c>
      <c r="M17" s="32">
        <f t="shared" si="3"/>
        <v>1156.3377483137256</v>
      </c>
    </row>
    <row r="18" spans="1:13" x14ac:dyDescent="0.3">
      <c r="A18" s="23" t="s">
        <v>122</v>
      </c>
      <c r="B18" s="14" t="s">
        <v>123</v>
      </c>
      <c r="C18" s="23" t="s">
        <v>109</v>
      </c>
      <c r="D18" s="26">
        <v>4.25</v>
      </c>
      <c r="E18" s="15">
        <f>'Rate Library'!$B$22</f>
        <v>3147.88</v>
      </c>
      <c r="F18" s="31">
        <f t="shared" si="0"/>
        <v>740.6776470588236</v>
      </c>
      <c r="G18" s="31">
        <f>'Rate Library'!$B$32*(1+'Rate Library'!$B$54)</f>
        <v>88.792000000000002</v>
      </c>
      <c r="H18" s="31">
        <f>50</f>
        <v>50</v>
      </c>
      <c r="I18" s="31">
        <f t="shared" si="1"/>
        <v>879.46964705882363</v>
      </c>
      <c r="J18" s="31">
        <f>I18*('Rate Library'!$B$49+'Rate Library'!$B$50+'Rate Library'!$B$51)</f>
        <v>290.22498352941182</v>
      </c>
      <c r="K18" s="31">
        <f t="shared" si="2"/>
        <v>1169.6946305882354</v>
      </c>
      <c r="L18" s="31">
        <f>K18*'Rate Library'!$B$52</f>
        <v>175.45419458823531</v>
      </c>
      <c r="M18" s="32">
        <f t="shared" si="3"/>
        <v>1345.1488251764708</v>
      </c>
    </row>
    <row r="19" spans="1:13" x14ac:dyDescent="0.3">
      <c r="A19" s="23" t="s">
        <v>124</v>
      </c>
      <c r="B19" s="14" t="s">
        <v>125</v>
      </c>
      <c r="C19" s="23" t="s">
        <v>109</v>
      </c>
      <c r="D19" s="26">
        <v>3.4</v>
      </c>
      <c r="E19" s="15">
        <f>'Rate Library'!$B$22</f>
        <v>3147.88</v>
      </c>
      <c r="F19" s="31">
        <f t="shared" si="0"/>
        <v>925.84705882352944</v>
      </c>
      <c r="G19" s="31">
        <f>'Rate Library'!$B$32*(1+'Rate Library'!$B$54)</f>
        <v>88.792000000000002</v>
      </c>
      <c r="H19" s="31">
        <f>50</f>
        <v>50</v>
      </c>
      <c r="I19" s="31">
        <f t="shared" si="1"/>
        <v>1064.6390588235295</v>
      </c>
      <c r="J19" s="31">
        <f>I19*('Rate Library'!$B$49+'Rate Library'!$B$50+'Rate Library'!$B$51)</f>
        <v>351.33088941176476</v>
      </c>
      <c r="K19" s="31">
        <f t="shared" si="2"/>
        <v>1415.9699482352942</v>
      </c>
      <c r="L19" s="31">
        <f>K19*'Rate Library'!$B$52</f>
        <v>212.39549223529411</v>
      </c>
      <c r="M19" s="32">
        <f t="shared" si="3"/>
        <v>1628.3654404705883</v>
      </c>
    </row>
    <row r="20" spans="1:13" x14ac:dyDescent="0.3">
      <c r="A20" s="23" t="s">
        <v>126</v>
      </c>
      <c r="B20" s="14" t="s">
        <v>127</v>
      </c>
      <c r="C20" s="23" t="s">
        <v>109</v>
      </c>
      <c r="D20" s="26">
        <v>8.5</v>
      </c>
      <c r="E20" s="15">
        <f>'Rate Library'!$B$22</f>
        <v>3147.88</v>
      </c>
      <c r="F20" s="31">
        <f t="shared" si="0"/>
        <v>370.3388235294118</v>
      </c>
      <c r="G20" s="31">
        <f>'Rate Library'!$B$33*(1+'Rate Library'!$B$54)</f>
        <v>78.595000000000013</v>
      </c>
      <c r="H20" s="31">
        <f>20</f>
        <v>20</v>
      </c>
      <c r="I20" s="31">
        <f t="shared" si="1"/>
        <v>468.93382352941182</v>
      </c>
      <c r="J20" s="31">
        <f>I20*('Rate Library'!$B$49+'Rate Library'!$B$50+'Rate Library'!$B$51)</f>
        <v>154.74816176470591</v>
      </c>
      <c r="K20" s="31">
        <f t="shared" si="2"/>
        <v>623.68198529411779</v>
      </c>
      <c r="L20" s="31">
        <f>K20*'Rate Library'!$B$52</f>
        <v>93.552297794117663</v>
      </c>
      <c r="M20" s="32">
        <f t="shared" si="3"/>
        <v>717.23428308823543</v>
      </c>
    </row>
    <row r="21" spans="1:13" x14ac:dyDescent="0.3">
      <c r="A21" s="23" t="s">
        <v>128</v>
      </c>
      <c r="B21" s="14" t="s">
        <v>129</v>
      </c>
      <c r="C21" s="23" t="s">
        <v>109</v>
      </c>
      <c r="D21" s="26">
        <v>0.85</v>
      </c>
      <c r="E21" s="15">
        <f>'Rate Library'!$B$22</f>
        <v>3147.88</v>
      </c>
      <c r="F21" s="31">
        <f t="shared" si="0"/>
        <v>3703.3882352941177</v>
      </c>
      <c r="G21" s="31">
        <f>400</f>
        <v>400</v>
      </c>
      <c r="H21" s="31">
        <f>300</f>
        <v>300</v>
      </c>
      <c r="I21" s="31">
        <f t="shared" si="1"/>
        <v>4403.3882352941182</v>
      </c>
      <c r="J21" s="31">
        <f>I21*('Rate Library'!$B$49+'Rate Library'!$B$50+'Rate Library'!$B$51)</f>
        <v>1453.1181176470591</v>
      </c>
      <c r="K21" s="31">
        <f t="shared" si="2"/>
        <v>5856.5063529411773</v>
      </c>
      <c r="L21" s="31">
        <f>K21*'Rate Library'!$B$52</f>
        <v>878.47595294117662</v>
      </c>
      <c r="M21" s="32">
        <f t="shared" si="3"/>
        <v>6734.982305882354</v>
      </c>
    </row>
    <row r="24" spans="1:13" ht="92.4" x14ac:dyDescent="0.3">
      <c r="A24" s="8" t="s">
        <v>130</v>
      </c>
      <c r="B24" s="34"/>
      <c r="C24" s="34"/>
      <c r="D24" s="34"/>
      <c r="E24" s="34"/>
      <c r="F24" s="34"/>
      <c r="G24" s="34"/>
      <c r="H24" s="34"/>
      <c r="I24" s="34"/>
      <c r="J24" s="34"/>
      <c r="K24" s="34"/>
      <c r="L24" s="34"/>
      <c r="M24" s="34"/>
    </row>
    <row r="25" spans="1:13" ht="52.8" x14ac:dyDescent="0.3">
      <c r="A25" s="14" t="s">
        <v>131</v>
      </c>
      <c r="B25" s="22">
        <v>4.5</v>
      </c>
      <c r="C25" s="23" t="s">
        <v>46</v>
      </c>
    </row>
    <row r="26" spans="1:13" ht="39.6" x14ac:dyDescent="0.3">
      <c r="A26" s="14" t="s">
        <v>132</v>
      </c>
      <c r="B26" s="22">
        <v>180</v>
      </c>
      <c r="C26" s="23" t="s">
        <v>133</v>
      </c>
    </row>
    <row r="27" spans="1:13" ht="39.6" x14ac:dyDescent="0.3">
      <c r="A27" s="14" t="s">
        <v>134</v>
      </c>
      <c r="B27" s="22">
        <v>2.5</v>
      </c>
      <c r="C27" s="23" t="s">
        <v>46</v>
      </c>
    </row>
    <row r="29" spans="1:13" ht="79.2" x14ac:dyDescent="0.3">
      <c r="A29" s="8" t="s">
        <v>135</v>
      </c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</row>
    <row r="30" spans="1:13" ht="52.8" x14ac:dyDescent="0.3">
      <c r="A30" s="14" t="s">
        <v>136</v>
      </c>
      <c r="M30" s="17">
        <f>$B$26*SUM('ST 1,2 RES BOQ '!D14:D16)*(1+'Rate Library'!$B$52)</f>
        <v>10557</v>
      </c>
    </row>
    <row r="31" spans="1:13" ht="52.8" x14ac:dyDescent="0.3">
      <c r="A31" s="14" t="s">
        <v>137</v>
      </c>
      <c r="M31" s="17">
        <f>$B$27*SUM('ST 1,2 RES BOQ '!D7:D11)*(1+'Rate Library'!$B$52)</f>
        <v>7834.3749999999991</v>
      </c>
    </row>
    <row r="32" spans="1:13" ht="39.6" x14ac:dyDescent="0.3">
      <c r="A32" s="14" t="s">
        <v>138</v>
      </c>
      <c r="M32" s="17">
        <f>$B$25*SUM('ST 1,2 RES BOQ '!D7:D11)*(1+'Rate Library'!$B$52)</f>
        <v>14101.874999999998</v>
      </c>
    </row>
    <row r="33" spans="1:13" ht="39.6" x14ac:dyDescent="0.3">
      <c r="A33" s="14" t="s">
        <v>139</v>
      </c>
      <c r="M33" s="17">
        <f>$B$26*SUM('ST 3,4,5,6 RES BOQ  '!D12:D14)*(1+'Rate Library'!$B$52)</f>
        <v>6830.9999999999991</v>
      </c>
    </row>
    <row r="34" spans="1:13" ht="39.6" x14ac:dyDescent="0.3">
      <c r="A34" s="14" t="s">
        <v>140</v>
      </c>
      <c r="M34" s="17">
        <f>$B$27*SUM('ST 3,4,5,6 RES BOQ  '!D7:D9)*(1+'Rate Library'!$B$52)</f>
        <v>4973.75</v>
      </c>
    </row>
    <row r="35" spans="1:13" ht="26.4" x14ac:dyDescent="0.3">
      <c r="A35" s="14" t="s">
        <v>141</v>
      </c>
      <c r="M35" s="17">
        <f>$B$25*SUM('ST 3,4,5,6 RES BOQ  '!D7:D9)*(1+'Rate Library'!$B$52)</f>
        <v>8952.75</v>
      </c>
    </row>
  </sheetData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42"/>
  <sheetViews>
    <sheetView showGridLines="0" zoomScaleNormal="100" workbookViewId="0">
      <selection activeCell="J13" sqref="J13"/>
    </sheetView>
  </sheetViews>
  <sheetFormatPr defaultColWidth="8.6640625" defaultRowHeight="14.4" x14ac:dyDescent="0.3"/>
  <cols>
    <col min="1" max="1" width="20" customWidth="1"/>
    <col min="2" max="2" width="40" customWidth="1"/>
    <col min="3" max="3" width="8" customWidth="1"/>
    <col min="4" max="4" width="12" customWidth="1"/>
    <col min="5" max="5" width="54" customWidth="1"/>
  </cols>
  <sheetData>
    <row r="1" spans="1:5" ht="16.8" x14ac:dyDescent="0.3">
      <c r="A1" s="6" t="s">
        <v>142</v>
      </c>
    </row>
    <row r="2" spans="1:5" x14ac:dyDescent="0.3">
      <c r="A2" s="11" t="s">
        <v>143</v>
      </c>
    </row>
    <row r="4" spans="1:5" x14ac:dyDescent="0.3">
      <c r="A4" s="12" t="s">
        <v>144</v>
      </c>
      <c r="B4" s="12" t="s">
        <v>145</v>
      </c>
      <c r="C4" s="13" t="s">
        <v>83</v>
      </c>
      <c r="D4" s="13" t="s">
        <v>146</v>
      </c>
      <c r="E4" s="12" t="s">
        <v>147</v>
      </c>
    </row>
    <row r="5" spans="1:5" x14ac:dyDescent="0.3">
      <c r="A5" s="14" t="s">
        <v>148</v>
      </c>
      <c r="B5" s="14" t="s">
        <v>149</v>
      </c>
      <c r="C5" s="23" t="s">
        <v>96</v>
      </c>
      <c r="D5" s="35">
        <v>25.5</v>
      </c>
      <c r="E5" s="36" t="s">
        <v>150</v>
      </c>
    </row>
    <row r="6" spans="1:5" x14ac:dyDescent="0.3">
      <c r="A6" s="14" t="s">
        <v>148</v>
      </c>
      <c r="B6" s="14" t="s">
        <v>151</v>
      </c>
      <c r="C6" s="23" t="s">
        <v>96</v>
      </c>
      <c r="D6" s="35">
        <v>95.1</v>
      </c>
      <c r="E6" s="36" t="s">
        <v>152</v>
      </c>
    </row>
    <row r="7" spans="1:5" x14ac:dyDescent="0.3">
      <c r="A7" s="14" t="s">
        <v>148</v>
      </c>
      <c r="B7" s="14" t="s">
        <v>153</v>
      </c>
      <c r="C7" s="23" t="s">
        <v>154</v>
      </c>
      <c r="D7" s="35">
        <v>39.75</v>
      </c>
      <c r="E7" s="36" t="s">
        <v>155</v>
      </c>
    </row>
    <row r="8" spans="1:5" x14ac:dyDescent="0.3">
      <c r="A8" s="14" t="s">
        <v>148</v>
      </c>
      <c r="B8" s="14" t="s">
        <v>156</v>
      </c>
      <c r="C8" s="23" t="s">
        <v>109</v>
      </c>
      <c r="D8" s="35">
        <v>5603.49</v>
      </c>
      <c r="E8" s="36" t="s">
        <v>157</v>
      </c>
    </row>
    <row r="9" spans="1:5" x14ac:dyDescent="0.3">
      <c r="A9" s="14" t="s">
        <v>148</v>
      </c>
      <c r="B9" s="14" t="s">
        <v>55</v>
      </c>
      <c r="C9" s="23" t="s">
        <v>109</v>
      </c>
      <c r="D9" s="35">
        <v>80.72</v>
      </c>
      <c r="E9" s="36" t="s">
        <v>158</v>
      </c>
    </row>
    <row r="10" spans="1:5" x14ac:dyDescent="0.3">
      <c r="A10" s="14" t="s">
        <v>148</v>
      </c>
      <c r="B10" s="14" t="s">
        <v>159</v>
      </c>
      <c r="C10" s="23" t="s">
        <v>109</v>
      </c>
      <c r="D10" s="35">
        <v>71.45</v>
      </c>
      <c r="E10" s="36" t="s">
        <v>158</v>
      </c>
    </row>
    <row r="11" spans="1:5" x14ac:dyDescent="0.3">
      <c r="A11" s="14" t="s">
        <v>148</v>
      </c>
      <c r="B11" s="37" t="s">
        <v>54</v>
      </c>
      <c r="C11" s="23" t="s">
        <v>109</v>
      </c>
      <c r="D11" s="103">
        <v>1500</v>
      </c>
      <c r="E11" s="39" t="s">
        <v>160</v>
      </c>
    </row>
    <row r="12" spans="1:5" x14ac:dyDescent="0.3">
      <c r="A12" s="14" t="s">
        <v>161</v>
      </c>
      <c r="B12" s="14" t="s">
        <v>162</v>
      </c>
      <c r="C12" s="23" t="s">
        <v>96</v>
      </c>
      <c r="D12" s="35">
        <v>92.01</v>
      </c>
      <c r="E12" s="36" t="s">
        <v>163</v>
      </c>
    </row>
    <row r="13" spans="1:5" x14ac:dyDescent="0.3">
      <c r="A13" s="14" t="s">
        <v>161</v>
      </c>
      <c r="B13" s="14" t="s">
        <v>164</v>
      </c>
      <c r="C13" s="23" t="s">
        <v>96</v>
      </c>
      <c r="D13" s="35">
        <v>81.260000000000005</v>
      </c>
      <c r="E13" s="36" t="s">
        <v>165</v>
      </c>
    </row>
    <row r="14" spans="1:5" x14ac:dyDescent="0.3">
      <c r="A14" s="14" t="s">
        <v>161</v>
      </c>
      <c r="B14" s="37" t="s">
        <v>166</v>
      </c>
      <c r="C14" s="23" t="s">
        <v>96</v>
      </c>
      <c r="D14" s="38">
        <v>150</v>
      </c>
      <c r="E14" s="39" t="s">
        <v>167</v>
      </c>
    </row>
    <row r="15" spans="1:5" x14ac:dyDescent="0.3">
      <c r="A15" s="14" t="s">
        <v>161</v>
      </c>
      <c r="B15" s="14" t="s">
        <v>168</v>
      </c>
      <c r="C15" s="23" t="s">
        <v>96</v>
      </c>
      <c r="D15" s="35">
        <v>226.03</v>
      </c>
      <c r="E15" s="36" t="s">
        <v>169</v>
      </c>
    </row>
    <row r="16" spans="1:5" x14ac:dyDescent="0.3">
      <c r="A16" s="14" t="s">
        <v>161</v>
      </c>
      <c r="B16" s="14" t="s">
        <v>170</v>
      </c>
      <c r="C16" s="23" t="s">
        <v>96</v>
      </c>
      <c r="D16" s="35">
        <v>138.9</v>
      </c>
      <c r="E16" s="36" t="s">
        <v>171</v>
      </c>
    </row>
    <row r="17" spans="1:5" x14ac:dyDescent="0.3">
      <c r="A17" s="14" t="s">
        <v>161</v>
      </c>
      <c r="B17" s="14" t="s">
        <v>172</v>
      </c>
      <c r="C17" s="23" t="s">
        <v>96</v>
      </c>
      <c r="D17" s="35">
        <v>180</v>
      </c>
      <c r="E17" s="36" t="s">
        <v>169</v>
      </c>
    </row>
    <row r="18" spans="1:5" x14ac:dyDescent="0.3">
      <c r="A18" s="14" t="s">
        <v>161</v>
      </c>
      <c r="B18" s="14" t="s">
        <v>173</v>
      </c>
      <c r="C18" s="23" t="s">
        <v>96</v>
      </c>
      <c r="D18" s="35">
        <v>244.4</v>
      </c>
      <c r="E18" s="36" t="s">
        <v>171</v>
      </c>
    </row>
    <row r="19" spans="1:5" x14ac:dyDescent="0.3">
      <c r="A19" s="14" t="s">
        <v>161</v>
      </c>
      <c r="B19" s="37" t="s">
        <v>174</v>
      </c>
      <c r="C19" s="23" t="s">
        <v>96</v>
      </c>
      <c r="D19" s="38">
        <v>350</v>
      </c>
      <c r="E19" s="39" t="s">
        <v>175</v>
      </c>
    </row>
    <row r="20" spans="1:5" x14ac:dyDescent="0.3">
      <c r="A20" s="14" t="s">
        <v>161</v>
      </c>
      <c r="B20" s="37" t="s">
        <v>176</v>
      </c>
      <c r="C20" s="23" t="s">
        <v>96</v>
      </c>
      <c r="D20" s="38">
        <v>400</v>
      </c>
      <c r="E20" s="39" t="s">
        <v>177</v>
      </c>
    </row>
    <row r="21" spans="1:5" x14ac:dyDescent="0.3">
      <c r="A21" s="14" t="s">
        <v>161</v>
      </c>
      <c r="B21" s="37" t="s">
        <v>178</v>
      </c>
      <c r="C21" s="23" t="s">
        <v>96</v>
      </c>
      <c r="D21" s="38">
        <v>450</v>
      </c>
      <c r="E21" s="39" t="s">
        <v>177</v>
      </c>
    </row>
    <row r="22" spans="1:5" x14ac:dyDescent="0.3">
      <c r="A22" s="14" t="s">
        <v>161</v>
      </c>
      <c r="B22" s="37" t="s">
        <v>179</v>
      </c>
      <c r="C22" s="23" t="s">
        <v>96</v>
      </c>
      <c r="D22" s="38">
        <v>500</v>
      </c>
      <c r="E22" s="39" t="s">
        <v>177</v>
      </c>
    </row>
    <row r="23" spans="1:5" x14ac:dyDescent="0.3">
      <c r="A23" s="14" t="s">
        <v>180</v>
      </c>
      <c r="B23" s="14" t="s">
        <v>181</v>
      </c>
      <c r="C23" s="23" t="s">
        <v>96</v>
      </c>
      <c r="D23" s="35">
        <v>473</v>
      </c>
      <c r="E23" s="36" t="s">
        <v>182</v>
      </c>
    </row>
    <row r="24" spans="1:5" x14ac:dyDescent="0.3">
      <c r="A24" s="14" t="s">
        <v>180</v>
      </c>
      <c r="B24" s="14" t="s">
        <v>183</v>
      </c>
      <c r="C24" s="23" t="s">
        <v>96</v>
      </c>
      <c r="D24" s="35">
        <v>716</v>
      </c>
      <c r="E24" s="36" t="s">
        <v>184</v>
      </c>
    </row>
    <row r="25" spans="1:5" x14ac:dyDescent="0.3">
      <c r="A25" s="14" t="s">
        <v>180</v>
      </c>
      <c r="B25" s="14" t="s">
        <v>185</v>
      </c>
      <c r="C25" s="23" t="s">
        <v>96</v>
      </c>
      <c r="D25" s="35">
        <v>2832</v>
      </c>
      <c r="E25" s="36" t="s">
        <v>186</v>
      </c>
    </row>
    <row r="26" spans="1:5" ht="22.8" x14ac:dyDescent="0.3">
      <c r="A26" s="14" t="s">
        <v>180</v>
      </c>
      <c r="B26" s="37" t="s">
        <v>187</v>
      </c>
      <c r="C26" s="23" t="s">
        <v>96</v>
      </c>
      <c r="D26" s="38">
        <v>4250</v>
      </c>
      <c r="E26" s="39" t="s">
        <v>188</v>
      </c>
    </row>
    <row r="27" spans="1:5" x14ac:dyDescent="0.3">
      <c r="A27" s="14" t="s">
        <v>180</v>
      </c>
      <c r="B27" s="37" t="s">
        <v>189</v>
      </c>
      <c r="C27" s="23" t="s">
        <v>96</v>
      </c>
      <c r="D27" s="38">
        <v>4550</v>
      </c>
      <c r="E27" s="39" t="s">
        <v>190</v>
      </c>
    </row>
    <row r="28" spans="1:5" x14ac:dyDescent="0.3">
      <c r="A28" s="14" t="s">
        <v>191</v>
      </c>
      <c r="B28" s="14" t="s">
        <v>192</v>
      </c>
      <c r="C28" s="23" t="s">
        <v>96</v>
      </c>
      <c r="D28" s="35">
        <v>25.5</v>
      </c>
      <c r="E28" s="36" t="s">
        <v>152</v>
      </c>
    </row>
    <row r="29" spans="1:5" x14ac:dyDescent="0.3">
      <c r="A29" s="14" t="s">
        <v>191</v>
      </c>
      <c r="B29" s="37" t="s">
        <v>193</v>
      </c>
      <c r="C29" s="23" t="s">
        <v>96</v>
      </c>
      <c r="D29" s="38">
        <v>50</v>
      </c>
      <c r="E29" s="39" t="s">
        <v>194</v>
      </c>
    </row>
    <row r="30" spans="1:5" x14ac:dyDescent="0.3">
      <c r="A30" s="14" t="s">
        <v>191</v>
      </c>
      <c r="B30" s="14" t="s">
        <v>195</v>
      </c>
      <c r="C30" s="23" t="s">
        <v>96</v>
      </c>
      <c r="D30" s="35">
        <v>70.03</v>
      </c>
      <c r="E30" s="36" t="s">
        <v>152</v>
      </c>
    </row>
    <row r="31" spans="1:5" x14ac:dyDescent="0.3">
      <c r="A31" s="14" t="s">
        <v>191</v>
      </c>
      <c r="B31" s="14" t="s">
        <v>196</v>
      </c>
      <c r="C31" s="23" t="s">
        <v>96</v>
      </c>
      <c r="D31" s="35">
        <v>95.1</v>
      </c>
      <c r="E31" s="36" t="s">
        <v>152</v>
      </c>
    </row>
    <row r="32" spans="1:5" x14ac:dyDescent="0.3">
      <c r="A32" s="14" t="s">
        <v>197</v>
      </c>
      <c r="B32" s="37" t="s">
        <v>198</v>
      </c>
      <c r="C32" s="23" t="s">
        <v>96</v>
      </c>
      <c r="D32" s="38">
        <v>15</v>
      </c>
      <c r="E32" s="39" t="s">
        <v>160</v>
      </c>
    </row>
    <row r="33" spans="1:5" x14ac:dyDescent="0.3">
      <c r="A33" s="14" t="s">
        <v>199</v>
      </c>
      <c r="B33" s="37" t="s">
        <v>200</v>
      </c>
      <c r="C33" s="23" t="s">
        <v>154</v>
      </c>
      <c r="D33" s="38">
        <v>150</v>
      </c>
      <c r="E33" s="39" t="s">
        <v>201</v>
      </c>
    </row>
    <row r="34" spans="1:5" x14ac:dyDescent="0.3">
      <c r="A34" s="14" t="s">
        <v>199</v>
      </c>
      <c r="B34" s="37" t="s">
        <v>202</v>
      </c>
      <c r="C34" s="23" t="s">
        <v>154</v>
      </c>
      <c r="D34" s="38">
        <v>75</v>
      </c>
      <c r="E34" s="39" t="s">
        <v>203</v>
      </c>
    </row>
    <row r="35" spans="1:5" x14ac:dyDescent="0.3">
      <c r="A35" s="14" t="s">
        <v>199</v>
      </c>
      <c r="B35" s="37" t="s">
        <v>204</v>
      </c>
      <c r="C35" s="23" t="s">
        <v>154</v>
      </c>
      <c r="D35" s="38">
        <v>70</v>
      </c>
      <c r="E35" s="39" t="s">
        <v>203</v>
      </c>
    </row>
    <row r="36" spans="1:5" x14ac:dyDescent="0.3">
      <c r="A36" s="14" t="s">
        <v>205</v>
      </c>
      <c r="B36" s="14" t="s">
        <v>206</v>
      </c>
      <c r="C36" s="23" t="s">
        <v>109</v>
      </c>
      <c r="D36" s="35">
        <v>423.2</v>
      </c>
      <c r="E36" s="36" t="s">
        <v>207</v>
      </c>
    </row>
    <row r="37" spans="1:5" x14ac:dyDescent="0.3">
      <c r="A37" s="14" t="s">
        <v>205</v>
      </c>
      <c r="B37" s="14" t="s">
        <v>208</v>
      </c>
      <c r="C37" s="23" t="s">
        <v>109</v>
      </c>
      <c r="D37" s="35">
        <v>365.2</v>
      </c>
      <c r="E37" s="36" t="s">
        <v>209</v>
      </c>
    </row>
    <row r="38" spans="1:5" x14ac:dyDescent="0.3">
      <c r="A38" s="14" t="s">
        <v>205</v>
      </c>
      <c r="B38" s="14" t="s">
        <v>210</v>
      </c>
      <c r="C38" s="23" t="s">
        <v>109</v>
      </c>
      <c r="D38" s="35">
        <v>399.73</v>
      </c>
      <c r="E38" s="36" t="s">
        <v>211</v>
      </c>
    </row>
    <row r="39" spans="1:5" x14ac:dyDescent="0.3">
      <c r="A39" s="14" t="s">
        <v>212</v>
      </c>
      <c r="B39" s="37" t="s">
        <v>213</v>
      </c>
      <c r="C39" s="23" t="s">
        <v>96</v>
      </c>
      <c r="D39" s="38">
        <v>8</v>
      </c>
      <c r="E39" s="39" t="s">
        <v>214</v>
      </c>
    </row>
    <row r="40" spans="1:5" x14ac:dyDescent="0.3">
      <c r="A40" s="14" t="s">
        <v>212</v>
      </c>
      <c r="B40" s="14" t="s">
        <v>215</v>
      </c>
      <c r="C40" s="23" t="s">
        <v>96</v>
      </c>
      <c r="D40" s="35">
        <v>15</v>
      </c>
      <c r="E40" s="36" t="s">
        <v>216</v>
      </c>
    </row>
    <row r="41" spans="1:5" x14ac:dyDescent="0.3">
      <c r="A41" s="14" t="s">
        <v>212</v>
      </c>
      <c r="B41" s="14" t="s">
        <v>217</v>
      </c>
      <c r="C41" s="23" t="s">
        <v>96</v>
      </c>
      <c r="D41" s="35">
        <v>35</v>
      </c>
      <c r="E41" s="36" t="s">
        <v>218</v>
      </c>
    </row>
    <row r="42" spans="1:5" x14ac:dyDescent="0.3">
      <c r="A42" s="14" t="s">
        <v>212</v>
      </c>
      <c r="B42" s="37" t="s">
        <v>219</v>
      </c>
      <c r="C42" s="23" t="s">
        <v>96</v>
      </c>
      <c r="D42" s="38">
        <v>58</v>
      </c>
      <c r="E42" s="39" t="s">
        <v>220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G43"/>
  <sheetViews>
    <sheetView zoomScale="130" zoomScaleNormal="130" workbookViewId="0">
      <pane xSplit="7" ySplit="4" topLeftCell="H30" activePane="bottomRight" state="frozen"/>
      <selection activeCell="E8" sqref="E8"/>
      <selection pane="topRight" activeCell="E8" sqref="E8"/>
      <selection pane="bottomLeft" activeCell="E8" sqref="E8"/>
      <selection pane="bottomRight" activeCell="C12" sqref="C12"/>
    </sheetView>
  </sheetViews>
  <sheetFormatPr defaultColWidth="9.109375" defaultRowHeight="13.8" x14ac:dyDescent="0.3"/>
  <cols>
    <col min="1" max="1" width="3.109375" style="40" customWidth="1"/>
    <col min="2" max="2" width="8.6640625" style="40" customWidth="1"/>
    <col min="3" max="3" width="60.88671875" style="41" customWidth="1"/>
    <col min="4" max="4" width="10.33203125" style="42" customWidth="1"/>
    <col min="5" max="5" width="7.44140625" style="41" customWidth="1"/>
    <col min="6" max="6" width="12.6640625" style="43" customWidth="1"/>
    <col min="7" max="7" width="12.6640625" style="44" customWidth="1"/>
    <col min="8" max="16384" width="9.109375" style="41"/>
  </cols>
  <sheetData>
    <row r="1" spans="1:7" ht="16.5" customHeight="1" x14ac:dyDescent="0.3">
      <c r="A1" s="5" t="s">
        <v>221</v>
      </c>
      <c r="B1" s="5"/>
      <c r="C1" s="5"/>
      <c r="D1" s="5"/>
      <c r="E1" s="5"/>
      <c r="F1" s="5"/>
      <c r="G1" s="5"/>
    </row>
    <row r="2" spans="1:7" ht="16.5" customHeight="1" x14ac:dyDescent="0.3">
      <c r="A2" s="4" t="s">
        <v>222</v>
      </c>
      <c r="B2" s="4"/>
      <c r="C2" s="4"/>
      <c r="D2" s="4"/>
      <c r="E2" s="4"/>
      <c r="F2" s="4"/>
      <c r="G2" s="4"/>
    </row>
    <row r="3" spans="1:7" ht="60.75" customHeight="1" x14ac:dyDescent="0.3">
      <c r="A3" s="45"/>
      <c r="B3" s="3" t="s">
        <v>223</v>
      </c>
      <c r="C3" s="3"/>
      <c r="D3" s="2" t="s">
        <v>224</v>
      </c>
      <c r="E3" s="2"/>
      <c r="F3" s="46">
        <v>46204</v>
      </c>
      <c r="G3" s="47" t="s">
        <v>225</v>
      </c>
    </row>
    <row r="4" spans="1:7" ht="14.25" customHeight="1" x14ac:dyDescent="0.3">
      <c r="A4" s="48"/>
      <c r="B4" s="49"/>
      <c r="C4" s="50" t="s">
        <v>145</v>
      </c>
      <c r="D4" s="51" t="s">
        <v>226</v>
      </c>
      <c r="E4" s="52" t="s">
        <v>83</v>
      </c>
      <c r="F4" s="53" t="s">
        <v>146</v>
      </c>
      <c r="G4" s="54" t="s">
        <v>227</v>
      </c>
    </row>
    <row r="5" spans="1:7" ht="14.25" customHeight="1" x14ac:dyDescent="0.3">
      <c r="A5" s="55">
        <v>6</v>
      </c>
      <c r="B5" s="56"/>
      <c r="C5" s="57" t="s">
        <v>228</v>
      </c>
      <c r="D5" s="58"/>
      <c r="E5" s="59"/>
      <c r="F5" s="60">
        <f>SUM(G6:G34)</f>
        <v>1511718.4217987894</v>
      </c>
      <c r="G5" s="61"/>
    </row>
    <row r="6" spans="1:7" ht="27" customHeight="1" x14ac:dyDescent="0.3">
      <c r="A6" s="62"/>
      <c r="B6" s="63">
        <v>6.1</v>
      </c>
      <c r="C6" s="64" t="s">
        <v>229</v>
      </c>
      <c r="D6" s="65"/>
      <c r="E6" s="66"/>
      <c r="F6" s="67"/>
      <c r="G6" s="68"/>
    </row>
    <row r="7" spans="1:7" x14ac:dyDescent="0.3">
      <c r="A7" s="69"/>
      <c r="B7" s="70" t="s">
        <v>230</v>
      </c>
      <c r="C7" s="71" t="s">
        <v>231</v>
      </c>
      <c r="D7" s="72">
        <v>667</v>
      </c>
      <c r="E7" s="73" t="s">
        <v>96</v>
      </c>
      <c r="F7" s="74">
        <f>'Rate Buildups'!$M$5</f>
        <v>157.15086172058827</v>
      </c>
      <c r="G7" s="75">
        <f t="shared" ref="G7:G12" si="0">+F7*D7</f>
        <v>104819.62476763237</v>
      </c>
    </row>
    <row r="8" spans="1:7" x14ac:dyDescent="0.3">
      <c r="A8" s="69"/>
      <c r="B8" s="70" t="s">
        <v>232</v>
      </c>
      <c r="C8" s="71" t="s">
        <v>233</v>
      </c>
      <c r="D8" s="72">
        <v>1410</v>
      </c>
      <c r="E8" s="73" t="s">
        <v>96</v>
      </c>
      <c r="F8" s="74">
        <f>'Rate Buildups'!$M$6</f>
        <v>210.7794015747549</v>
      </c>
      <c r="G8" s="75">
        <f t="shared" si="0"/>
        <v>297198.95622040442</v>
      </c>
    </row>
    <row r="9" spans="1:7" x14ac:dyDescent="0.3">
      <c r="A9" s="69"/>
      <c r="B9" s="70" t="s">
        <v>234</v>
      </c>
      <c r="C9" s="71" t="s">
        <v>235</v>
      </c>
      <c r="D9" s="72">
        <v>27</v>
      </c>
      <c r="E9" s="73" t="s">
        <v>96</v>
      </c>
      <c r="F9" s="74">
        <f>'Rate Buildups'!$M$7</f>
        <v>330.94108127262439</v>
      </c>
      <c r="G9" s="75">
        <f t="shared" si="0"/>
        <v>8935.4091943608582</v>
      </c>
    </row>
    <row r="10" spans="1:7" x14ac:dyDescent="0.3">
      <c r="A10" s="69"/>
      <c r="B10" s="70" t="s">
        <v>236</v>
      </c>
      <c r="C10" s="71" t="s">
        <v>237</v>
      </c>
      <c r="D10" s="72">
        <v>591</v>
      </c>
      <c r="E10" s="73" t="s">
        <v>96</v>
      </c>
      <c r="F10" s="74">
        <f>'Rate Buildups'!$M$8</f>
        <v>356.27977313970587</v>
      </c>
      <c r="G10" s="75">
        <f t="shared" si="0"/>
        <v>210561.34592556616</v>
      </c>
    </row>
    <row r="11" spans="1:7" x14ac:dyDescent="0.3">
      <c r="A11" s="69"/>
      <c r="B11" s="70" t="s">
        <v>238</v>
      </c>
      <c r="C11" s="71" t="s">
        <v>239</v>
      </c>
      <c r="D11" s="72">
        <v>30</v>
      </c>
      <c r="E11" s="73" t="s">
        <v>96</v>
      </c>
      <c r="F11" s="74">
        <f>'Rate Buildups'!$M$9</f>
        <v>495.7070444585562</v>
      </c>
      <c r="G11" s="75">
        <f t="shared" si="0"/>
        <v>14871.211333756686</v>
      </c>
    </row>
    <row r="12" spans="1:7" ht="27" customHeight="1" x14ac:dyDescent="0.3">
      <c r="A12" s="69"/>
      <c r="B12" s="70" t="s">
        <v>240</v>
      </c>
      <c r="C12" s="71" t="s">
        <v>241</v>
      </c>
      <c r="D12" s="72"/>
      <c r="E12" s="73" t="s">
        <v>96</v>
      </c>
      <c r="F12" s="74">
        <f>'Rate Buildups'!$M$10</f>
        <v>50.983333333333334</v>
      </c>
      <c r="G12" s="75">
        <f t="shared" si="0"/>
        <v>0</v>
      </c>
    </row>
    <row r="13" spans="1:7" x14ac:dyDescent="0.3">
      <c r="A13" s="76"/>
      <c r="B13" s="77">
        <v>6.2</v>
      </c>
      <c r="C13" s="78" t="s">
        <v>242</v>
      </c>
      <c r="D13" s="79"/>
      <c r="E13" s="80"/>
      <c r="F13" s="81"/>
      <c r="G13" s="82"/>
    </row>
    <row r="14" spans="1:7" x14ac:dyDescent="0.3">
      <c r="A14" s="83"/>
      <c r="B14" s="70" t="s">
        <v>243</v>
      </c>
      <c r="C14" s="71" t="s">
        <v>244</v>
      </c>
      <c r="D14" s="72">
        <v>13</v>
      </c>
      <c r="E14" s="73" t="s">
        <v>245</v>
      </c>
      <c r="F14" s="74">
        <f>'Rate Buildups'!$M$11</f>
        <v>9447.0392424694837</v>
      </c>
      <c r="G14" s="75">
        <f>+F14*D14</f>
        <v>122811.51015210329</v>
      </c>
    </row>
    <row r="15" spans="1:7" x14ac:dyDescent="0.3">
      <c r="A15" s="83"/>
      <c r="B15" s="70" t="s">
        <v>246</v>
      </c>
      <c r="C15" s="84" t="s">
        <v>247</v>
      </c>
      <c r="D15" s="72">
        <v>34</v>
      </c>
      <c r="E15" s="73" t="s">
        <v>245</v>
      </c>
      <c r="F15" s="74">
        <f>'Rate Buildups'!$M$12</f>
        <v>13836.710078624999</v>
      </c>
      <c r="G15" s="75">
        <f>+F15*D15</f>
        <v>470448.14267325</v>
      </c>
    </row>
    <row r="16" spans="1:7" x14ac:dyDescent="0.3">
      <c r="A16" s="83"/>
      <c r="B16" s="70" t="s">
        <v>248</v>
      </c>
      <c r="C16" s="84" t="s">
        <v>249</v>
      </c>
      <c r="D16" s="72">
        <v>4</v>
      </c>
      <c r="E16" s="73" t="s">
        <v>245</v>
      </c>
      <c r="F16" s="74">
        <f>'Rate Buildups'!$M$13</f>
        <v>19995.066588411762</v>
      </c>
      <c r="G16" s="75">
        <f>+F16*D16</f>
        <v>79980.26635364705</v>
      </c>
    </row>
    <row r="17" spans="1:7" x14ac:dyDescent="0.3">
      <c r="A17" s="76"/>
      <c r="B17" s="77">
        <v>6.3</v>
      </c>
      <c r="C17" s="78" t="s">
        <v>250</v>
      </c>
      <c r="D17" s="79"/>
      <c r="E17" s="80"/>
      <c r="F17" s="81"/>
      <c r="G17" s="82"/>
    </row>
    <row r="18" spans="1:7" x14ac:dyDescent="0.3">
      <c r="A18" s="83"/>
      <c r="B18" s="70" t="s">
        <v>251</v>
      </c>
      <c r="C18" s="84" t="s">
        <v>252</v>
      </c>
      <c r="D18" s="72">
        <v>7</v>
      </c>
      <c r="E18" s="73" t="s">
        <v>245</v>
      </c>
      <c r="F18" s="74">
        <f>'Rate Buildups'!$M$14</f>
        <v>3608.7982686274509</v>
      </c>
      <c r="G18" s="75">
        <f t="shared" ref="G18:G24" si="1">+F18*D18</f>
        <v>25261.587880392155</v>
      </c>
    </row>
    <row r="19" spans="1:7" x14ac:dyDescent="0.3">
      <c r="A19" s="83"/>
      <c r="B19" s="70" t="s">
        <v>253</v>
      </c>
      <c r="C19" s="71" t="s">
        <v>254</v>
      </c>
      <c r="D19" s="72">
        <v>3</v>
      </c>
      <c r="E19" s="73" t="s">
        <v>245</v>
      </c>
      <c r="F19" s="74">
        <f>'Rate Buildups'!$M$15</f>
        <v>4867.7507117647056</v>
      </c>
      <c r="G19" s="75">
        <f t="shared" si="1"/>
        <v>14603.252135294117</v>
      </c>
    </row>
    <row r="20" spans="1:7" x14ac:dyDescent="0.3">
      <c r="A20" s="76"/>
      <c r="B20" s="77">
        <v>6.4</v>
      </c>
      <c r="C20" s="78" t="s">
        <v>255</v>
      </c>
      <c r="D20" s="79"/>
      <c r="E20" s="80" t="s">
        <v>245</v>
      </c>
      <c r="F20" s="85"/>
      <c r="G20" s="86">
        <f t="shared" si="1"/>
        <v>0</v>
      </c>
    </row>
    <row r="21" spans="1:7" x14ac:dyDescent="0.3">
      <c r="A21" s="69"/>
      <c r="B21" s="70" t="s">
        <v>256</v>
      </c>
      <c r="C21" s="71" t="s">
        <v>257</v>
      </c>
      <c r="D21" s="72">
        <v>26</v>
      </c>
      <c r="E21" s="73" t="s">
        <v>245</v>
      </c>
      <c r="F21" s="74">
        <f>'Rate Buildups'!$M$16</f>
        <v>920.3239022352941</v>
      </c>
      <c r="G21" s="75">
        <f t="shared" si="1"/>
        <v>23928.421458117646</v>
      </c>
    </row>
    <row r="22" spans="1:7" x14ac:dyDescent="0.3">
      <c r="A22" s="69"/>
      <c r="B22" s="70" t="s">
        <v>258</v>
      </c>
      <c r="C22" s="71" t="s">
        <v>259</v>
      </c>
      <c r="D22" s="72">
        <v>21</v>
      </c>
      <c r="E22" s="73" t="s">
        <v>245</v>
      </c>
      <c r="F22" s="74">
        <f>'Rate Buildups'!$M$17</f>
        <v>1156.3377483137256</v>
      </c>
      <c r="G22" s="75">
        <f t="shared" si="1"/>
        <v>24283.092714588238</v>
      </c>
    </row>
    <row r="23" spans="1:7" x14ac:dyDescent="0.3">
      <c r="A23" s="69"/>
      <c r="B23" s="70" t="s">
        <v>260</v>
      </c>
      <c r="C23" s="71" t="s">
        <v>261</v>
      </c>
      <c r="D23" s="72">
        <v>27</v>
      </c>
      <c r="E23" s="73" t="s">
        <v>245</v>
      </c>
      <c r="F23" s="74">
        <f>'Rate Buildups'!$M$18</f>
        <v>1345.1488251764708</v>
      </c>
      <c r="G23" s="75">
        <f t="shared" si="1"/>
        <v>36319.018279764714</v>
      </c>
    </row>
    <row r="24" spans="1:7" x14ac:dyDescent="0.3">
      <c r="A24" s="69"/>
      <c r="B24" s="70" t="s">
        <v>262</v>
      </c>
      <c r="C24" s="71" t="s">
        <v>263</v>
      </c>
      <c r="D24" s="72">
        <v>12</v>
      </c>
      <c r="E24" s="73" t="s">
        <v>245</v>
      </c>
      <c r="F24" s="74">
        <f>'Rate Buildups'!$M$19</f>
        <v>1628.3654404705883</v>
      </c>
      <c r="G24" s="75">
        <f t="shared" si="1"/>
        <v>19540.385285647058</v>
      </c>
    </row>
    <row r="25" spans="1:7" x14ac:dyDescent="0.3">
      <c r="A25" s="76"/>
      <c r="B25" s="87">
        <v>6.5</v>
      </c>
      <c r="C25" s="88" t="s">
        <v>264</v>
      </c>
      <c r="D25" s="79"/>
      <c r="E25" s="80"/>
      <c r="F25" s="85"/>
      <c r="G25" s="86"/>
    </row>
    <row r="26" spans="1:7" x14ac:dyDescent="0.3">
      <c r="A26" s="69"/>
      <c r="B26" s="70" t="s">
        <v>265</v>
      </c>
      <c r="C26" s="89" t="s">
        <v>266</v>
      </c>
      <c r="D26" s="90">
        <v>12</v>
      </c>
      <c r="E26" s="73" t="s">
        <v>245</v>
      </c>
      <c r="F26" s="74">
        <f>'Rate Buildups'!$M$20</f>
        <v>717.23428308823543</v>
      </c>
      <c r="G26" s="75">
        <f>F26*D26</f>
        <v>8606.8113970588256</v>
      </c>
    </row>
    <row r="27" spans="1:7" x14ac:dyDescent="0.3">
      <c r="A27" s="69"/>
      <c r="B27" s="70" t="s">
        <v>267</v>
      </c>
      <c r="C27" s="89" t="s">
        <v>268</v>
      </c>
      <c r="D27" s="90">
        <v>2</v>
      </c>
      <c r="E27" s="73" t="s">
        <v>245</v>
      </c>
      <c r="F27" s="74">
        <f>'Rate Buildups'!$M$20</f>
        <v>717.23428308823543</v>
      </c>
      <c r="G27" s="75">
        <f>F27*D27</f>
        <v>1434.4685661764709</v>
      </c>
    </row>
    <row r="28" spans="1:7" x14ac:dyDescent="0.3">
      <c r="A28" s="69"/>
      <c r="B28" s="70" t="s">
        <v>269</v>
      </c>
      <c r="C28" s="89" t="s">
        <v>270</v>
      </c>
      <c r="D28" s="90">
        <v>1</v>
      </c>
      <c r="E28" s="73" t="s">
        <v>245</v>
      </c>
      <c r="F28" s="74">
        <f>'Rate Buildups'!$M$20</f>
        <v>717.23428308823543</v>
      </c>
      <c r="G28" s="75">
        <f>F28*D28</f>
        <v>717.23428308823543</v>
      </c>
    </row>
    <row r="29" spans="1:7" x14ac:dyDescent="0.3">
      <c r="A29" s="69"/>
      <c r="B29" s="70" t="s">
        <v>271</v>
      </c>
      <c r="C29" s="89" t="s">
        <v>272</v>
      </c>
      <c r="D29" s="72">
        <v>2</v>
      </c>
      <c r="E29" s="73" t="s">
        <v>245</v>
      </c>
      <c r="F29" s="74">
        <f>'Rate Buildups'!$M$20</f>
        <v>717.23428308823543</v>
      </c>
      <c r="G29" s="75">
        <f>F29*D29</f>
        <v>1434.4685661764709</v>
      </c>
    </row>
    <row r="30" spans="1:7" x14ac:dyDescent="0.3">
      <c r="A30" s="69"/>
      <c r="B30" s="70" t="s">
        <v>273</v>
      </c>
      <c r="C30" s="89" t="s">
        <v>274</v>
      </c>
      <c r="D30" s="72">
        <v>2</v>
      </c>
      <c r="E30" s="73" t="s">
        <v>245</v>
      </c>
      <c r="F30" s="74">
        <f>'Rate Buildups'!$M$21</f>
        <v>6734.982305882354</v>
      </c>
      <c r="G30" s="75">
        <f>F30*D30</f>
        <v>13469.964611764708</v>
      </c>
    </row>
    <row r="31" spans="1:7" x14ac:dyDescent="0.3">
      <c r="A31" s="76"/>
      <c r="B31" s="87">
        <v>6.6</v>
      </c>
      <c r="C31" s="88" t="s">
        <v>275</v>
      </c>
      <c r="D31" s="79"/>
      <c r="E31" s="80"/>
      <c r="F31" s="85"/>
      <c r="G31" s="86"/>
    </row>
    <row r="32" spans="1:7" x14ac:dyDescent="0.3">
      <c r="A32" s="69"/>
      <c r="B32" s="91" t="s">
        <v>276</v>
      </c>
      <c r="C32" s="92" t="s">
        <v>277</v>
      </c>
      <c r="D32" s="72">
        <v>1</v>
      </c>
      <c r="E32" s="73" t="s">
        <v>278</v>
      </c>
      <c r="F32" s="74">
        <f>'Rate Buildups'!$M$30</f>
        <v>10557</v>
      </c>
      <c r="G32" s="75">
        <f>+F32*D32</f>
        <v>10557</v>
      </c>
    </row>
    <row r="33" spans="1:7" x14ac:dyDescent="0.3">
      <c r="A33" s="69"/>
      <c r="B33" s="91" t="s">
        <v>279</v>
      </c>
      <c r="C33" s="92" t="s">
        <v>280</v>
      </c>
      <c r="D33" s="72">
        <v>1</v>
      </c>
      <c r="E33" s="73" t="s">
        <v>278</v>
      </c>
      <c r="F33" s="74">
        <f>'Rate Buildups'!$M$31</f>
        <v>7834.3749999999991</v>
      </c>
      <c r="G33" s="75">
        <f>+F33*D33</f>
        <v>7834.3749999999991</v>
      </c>
    </row>
    <row r="34" spans="1:7" ht="14.25" customHeight="1" x14ac:dyDescent="0.3">
      <c r="A34" s="93"/>
      <c r="B34" s="94" t="s">
        <v>281</v>
      </c>
      <c r="C34" s="95" t="s">
        <v>131</v>
      </c>
      <c r="D34" s="96">
        <v>1</v>
      </c>
      <c r="E34" s="97" t="s">
        <v>278</v>
      </c>
      <c r="F34" s="98">
        <f>'Rate Buildups'!$M$32</f>
        <v>14101.874999999998</v>
      </c>
      <c r="G34" s="99">
        <f>+F34*D34</f>
        <v>14101.874999999998</v>
      </c>
    </row>
    <row r="35" spans="1:7" x14ac:dyDescent="0.3">
      <c r="D35" s="41"/>
      <c r="F35" s="41"/>
      <c r="G35" s="41"/>
    </row>
    <row r="36" spans="1:7" x14ac:dyDescent="0.3">
      <c r="D36" s="41"/>
      <c r="F36" s="41"/>
      <c r="G36" s="41"/>
    </row>
    <row r="37" spans="1:7" x14ac:dyDescent="0.3">
      <c r="D37" s="41"/>
      <c r="F37" s="41"/>
      <c r="G37" s="41"/>
    </row>
    <row r="38" spans="1:7" x14ac:dyDescent="0.3">
      <c r="D38" s="41"/>
      <c r="F38" s="41"/>
      <c r="G38" s="41"/>
    </row>
    <row r="39" spans="1:7" x14ac:dyDescent="0.3">
      <c r="D39" s="41"/>
      <c r="F39" s="41"/>
      <c r="G39" s="41"/>
    </row>
    <row r="40" spans="1:7" x14ac:dyDescent="0.3">
      <c r="D40" s="41"/>
      <c r="F40" s="41"/>
      <c r="G40" s="41"/>
    </row>
    <row r="41" spans="1:7" x14ac:dyDescent="0.3">
      <c r="D41" s="41"/>
      <c r="F41" s="41"/>
      <c r="G41" s="41"/>
    </row>
    <row r="42" spans="1:7" x14ac:dyDescent="0.3">
      <c r="D42" s="41"/>
      <c r="F42" s="41"/>
      <c r="G42" s="41"/>
    </row>
    <row r="43" spans="1:7" x14ac:dyDescent="0.3">
      <c r="D43" s="41"/>
      <c r="F43" s="41"/>
      <c r="G43" s="41"/>
    </row>
  </sheetData>
  <mergeCells count="4">
    <mergeCell ref="A1:G1"/>
    <mergeCell ref="A2:G2"/>
    <mergeCell ref="B3:C3"/>
    <mergeCell ref="D3:E3"/>
  </mergeCells>
  <pageMargins left="0.70833333333333304" right="0.31527777777777799" top="0.35416666666666702" bottom="0.35416666666666702" header="0.511811023622047" footer="0.511811023622047"/>
  <pageSetup paperSize="8" fitToHeight="0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G39"/>
  <sheetViews>
    <sheetView tabSelected="1" zoomScale="130" zoomScaleNormal="130" workbookViewId="0">
      <pane xSplit="7" ySplit="4" topLeftCell="H5" activePane="bottomRight" state="frozen"/>
      <selection pane="topRight" activeCell="H1" sqref="H1"/>
      <selection pane="bottomLeft" activeCell="A5" sqref="A5"/>
      <selection pane="bottomRight" activeCell="A33" sqref="A33"/>
    </sheetView>
  </sheetViews>
  <sheetFormatPr defaultColWidth="9.109375" defaultRowHeight="13.8" x14ac:dyDescent="0.3"/>
  <cols>
    <col min="1" max="1" width="3.109375" style="40" customWidth="1"/>
    <col min="2" max="2" width="8.6640625" style="40" customWidth="1"/>
    <col min="3" max="3" width="60.88671875" style="41" customWidth="1"/>
    <col min="4" max="4" width="10.33203125" style="42" customWidth="1"/>
    <col min="5" max="5" width="7.44140625" style="41" customWidth="1"/>
    <col min="6" max="6" width="12.6640625" style="43" customWidth="1"/>
    <col min="7" max="7" width="12.6640625" style="44" customWidth="1"/>
    <col min="8" max="16384" width="9.109375" style="41"/>
  </cols>
  <sheetData>
    <row r="1" spans="1:7" ht="15.75" customHeight="1" x14ac:dyDescent="0.3">
      <c r="A1" s="5" t="s">
        <v>221</v>
      </c>
      <c r="B1" s="5"/>
      <c r="C1" s="5"/>
      <c r="D1" s="5"/>
      <c r="E1" s="5"/>
      <c r="F1" s="5"/>
      <c r="G1" s="5"/>
    </row>
    <row r="2" spans="1:7" ht="15.75" customHeight="1" x14ac:dyDescent="0.3">
      <c r="A2" s="1" t="s">
        <v>282</v>
      </c>
      <c r="B2" s="1"/>
      <c r="C2" s="1"/>
      <c r="D2" s="1"/>
      <c r="E2" s="1"/>
      <c r="F2" s="1"/>
      <c r="G2" s="1"/>
    </row>
    <row r="3" spans="1:7" ht="60.75" customHeight="1" x14ac:dyDescent="0.3">
      <c r="A3" s="45"/>
      <c r="B3" s="3" t="s">
        <v>223</v>
      </c>
      <c r="C3" s="3"/>
      <c r="D3" s="2" t="s">
        <v>224</v>
      </c>
      <c r="E3" s="2"/>
      <c r="F3" s="46">
        <v>46204</v>
      </c>
      <c r="G3" s="47" t="s">
        <v>283</v>
      </c>
    </row>
    <row r="4" spans="1:7" ht="14.25" customHeight="1" x14ac:dyDescent="0.3">
      <c r="A4" s="48"/>
      <c r="B4" s="49"/>
      <c r="C4" s="50" t="s">
        <v>145</v>
      </c>
      <c r="D4" s="51" t="s">
        <v>226</v>
      </c>
      <c r="E4" s="52" t="s">
        <v>83</v>
      </c>
      <c r="F4" s="53" t="s">
        <v>146</v>
      </c>
      <c r="G4" s="54" t="s">
        <v>227</v>
      </c>
    </row>
    <row r="5" spans="1:7" ht="14.25" customHeight="1" x14ac:dyDescent="0.3">
      <c r="A5" s="55">
        <v>6</v>
      </c>
      <c r="B5" s="56"/>
      <c r="C5" s="57" t="s">
        <v>228</v>
      </c>
      <c r="D5" s="58"/>
      <c r="E5" s="59"/>
      <c r="F5" s="60">
        <f>SUM(G6:G32)</f>
        <v>893178.50901622558</v>
      </c>
      <c r="G5" s="61"/>
    </row>
    <row r="6" spans="1:7" ht="27" customHeight="1" x14ac:dyDescent="0.3">
      <c r="A6" s="62"/>
      <c r="B6" s="63">
        <v>6.1</v>
      </c>
      <c r="C6" s="64" t="s">
        <v>229</v>
      </c>
      <c r="D6" s="65"/>
      <c r="E6" s="66"/>
      <c r="F6" s="67"/>
      <c r="G6" s="68"/>
    </row>
    <row r="7" spans="1:7" x14ac:dyDescent="0.3">
      <c r="A7" s="69"/>
      <c r="B7" s="70" t="s">
        <v>230</v>
      </c>
      <c r="C7" s="71" t="s">
        <v>231</v>
      </c>
      <c r="D7" s="100">
        <v>1011</v>
      </c>
      <c r="E7" s="73" t="s">
        <v>96</v>
      </c>
      <c r="F7" s="74">
        <f>'Rate Buildups'!$M$5</f>
        <v>157.15086172058827</v>
      </c>
      <c r="G7" s="75">
        <f>+F7*D7</f>
        <v>158879.52119951474</v>
      </c>
    </row>
    <row r="8" spans="1:7" x14ac:dyDescent="0.3">
      <c r="A8" s="69"/>
      <c r="B8" s="70" t="s">
        <v>232</v>
      </c>
      <c r="C8" s="71" t="s">
        <v>233</v>
      </c>
      <c r="D8" s="100">
        <v>554</v>
      </c>
      <c r="E8" s="73" t="s">
        <v>96</v>
      </c>
      <c r="F8" s="74">
        <f>'Rate Buildups'!$M$6</f>
        <v>210.7794015747549</v>
      </c>
      <c r="G8" s="75">
        <f>+F8*D8</f>
        <v>116771.78847241422</v>
      </c>
    </row>
    <row r="9" spans="1:7" x14ac:dyDescent="0.3">
      <c r="A9" s="69"/>
      <c r="B9" s="70" t="s">
        <v>234</v>
      </c>
      <c r="C9" s="71" t="s">
        <v>284</v>
      </c>
      <c r="D9" s="100">
        <v>165</v>
      </c>
      <c r="E9" s="73" t="s">
        <v>96</v>
      </c>
      <c r="F9" s="74">
        <f>'Rate Buildups'!$M$7</f>
        <v>330.94108127262439</v>
      </c>
      <c r="G9" s="75">
        <f>+F9*D9</f>
        <v>54605.278409983024</v>
      </c>
    </row>
    <row r="10" spans="1:7" ht="27" customHeight="1" x14ac:dyDescent="0.3">
      <c r="A10" s="69"/>
      <c r="B10" s="70" t="s">
        <v>236</v>
      </c>
      <c r="C10" s="71" t="s">
        <v>241</v>
      </c>
      <c r="D10" s="100"/>
      <c r="E10" s="73" t="s">
        <v>96</v>
      </c>
      <c r="F10" s="74">
        <f>'Rate Buildups'!$M$10</f>
        <v>50.983333333333334</v>
      </c>
      <c r="G10" s="75">
        <f>+F10*D10</f>
        <v>0</v>
      </c>
    </row>
    <row r="11" spans="1:7" x14ac:dyDescent="0.3">
      <c r="A11" s="76"/>
      <c r="B11" s="77">
        <v>6.2</v>
      </c>
      <c r="C11" s="78" t="s">
        <v>242</v>
      </c>
      <c r="D11" s="79"/>
      <c r="E11" s="80"/>
      <c r="F11" s="81"/>
      <c r="G11" s="82"/>
    </row>
    <row r="12" spans="1:7" x14ac:dyDescent="0.3">
      <c r="A12" s="83"/>
      <c r="B12" s="70" t="s">
        <v>243</v>
      </c>
      <c r="C12" s="71" t="s">
        <v>244</v>
      </c>
      <c r="D12" s="100">
        <v>18</v>
      </c>
      <c r="E12" s="73" t="s">
        <v>245</v>
      </c>
      <c r="F12" s="74">
        <f>'Rate Buildups'!$M$11</f>
        <v>9447.0392424694837</v>
      </c>
      <c r="G12" s="75">
        <f>+F12*D12</f>
        <v>170046.70636445071</v>
      </c>
    </row>
    <row r="13" spans="1:7" x14ac:dyDescent="0.3">
      <c r="A13" s="83"/>
      <c r="B13" s="70" t="s">
        <v>246</v>
      </c>
      <c r="C13" s="84" t="s">
        <v>247</v>
      </c>
      <c r="D13" s="100">
        <v>12</v>
      </c>
      <c r="E13" s="73" t="s">
        <v>245</v>
      </c>
      <c r="F13" s="74">
        <f>'Rate Buildups'!$M$12</f>
        <v>13836.710078624999</v>
      </c>
      <c r="G13" s="75">
        <f>+F13*D13</f>
        <v>166040.52094349999</v>
      </c>
    </row>
    <row r="14" spans="1:7" x14ac:dyDescent="0.3">
      <c r="A14" s="83"/>
      <c r="B14" s="70" t="s">
        <v>248</v>
      </c>
      <c r="C14" s="84" t="s">
        <v>249</v>
      </c>
      <c r="D14" s="100">
        <v>3</v>
      </c>
      <c r="E14" s="73" t="s">
        <v>245</v>
      </c>
      <c r="F14" s="74">
        <f>'Rate Buildups'!$M$13</f>
        <v>19995.066588411762</v>
      </c>
      <c r="G14" s="75">
        <f>+F14*D14</f>
        <v>59985.199765235287</v>
      </c>
    </row>
    <row r="15" spans="1:7" x14ac:dyDescent="0.3">
      <c r="A15" s="76"/>
      <c r="B15" s="77">
        <v>6.3</v>
      </c>
      <c r="C15" s="78" t="s">
        <v>250</v>
      </c>
      <c r="D15" s="79"/>
      <c r="E15" s="80"/>
      <c r="F15" s="81"/>
      <c r="G15" s="82"/>
    </row>
    <row r="16" spans="1:7" x14ac:dyDescent="0.3">
      <c r="A16" s="83"/>
      <c r="B16" s="70" t="s">
        <v>251</v>
      </c>
      <c r="C16" s="84" t="s">
        <v>252</v>
      </c>
      <c r="D16" s="100">
        <v>10</v>
      </c>
      <c r="E16" s="73" t="s">
        <v>245</v>
      </c>
      <c r="F16" s="74">
        <f>'Rate Buildups'!$M$14</f>
        <v>3608.7982686274509</v>
      </c>
      <c r="G16" s="75">
        <f t="shared" ref="G16:G21" si="0">+F16*D16</f>
        <v>36087.98268627451</v>
      </c>
    </row>
    <row r="17" spans="1:7" x14ac:dyDescent="0.3">
      <c r="A17" s="83"/>
      <c r="B17" s="70" t="s">
        <v>253</v>
      </c>
      <c r="C17" s="71" t="s">
        <v>254</v>
      </c>
      <c r="D17" s="100">
        <v>1</v>
      </c>
      <c r="E17" s="73" t="s">
        <v>245</v>
      </c>
      <c r="F17" s="74">
        <f>'Rate Buildups'!$M$15</f>
        <v>4867.7507117647056</v>
      </c>
      <c r="G17" s="75">
        <f t="shared" si="0"/>
        <v>4867.7507117647056</v>
      </c>
    </row>
    <row r="18" spans="1:7" x14ac:dyDescent="0.3">
      <c r="A18" s="76"/>
      <c r="B18" s="77">
        <v>6.4</v>
      </c>
      <c r="C18" s="78" t="s">
        <v>285</v>
      </c>
      <c r="D18" s="79"/>
      <c r="E18" s="80" t="s">
        <v>245</v>
      </c>
      <c r="F18" s="85"/>
      <c r="G18" s="86">
        <f t="shared" si="0"/>
        <v>0</v>
      </c>
    </row>
    <row r="19" spans="1:7" x14ac:dyDescent="0.3">
      <c r="A19" s="69"/>
      <c r="B19" s="70" t="s">
        <v>256</v>
      </c>
      <c r="C19" s="71" t="s">
        <v>257</v>
      </c>
      <c r="D19" s="100">
        <v>27</v>
      </c>
      <c r="E19" s="73" t="s">
        <v>245</v>
      </c>
      <c r="F19" s="74">
        <f>'Rate Buildups'!$M$16</f>
        <v>920.3239022352941</v>
      </c>
      <c r="G19" s="75">
        <f t="shared" si="0"/>
        <v>24848.745360352939</v>
      </c>
    </row>
    <row r="20" spans="1:7" x14ac:dyDescent="0.3">
      <c r="A20" s="69"/>
      <c r="B20" s="70" t="s">
        <v>258</v>
      </c>
      <c r="C20" s="71" t="s">
        <v>259</v>
      </c>
      <c r="D20" s="100">
        <v>27</v>
      </c>
      <c r="E20" s="73" t="s">
        <v>245</v>
      </c>
      <c r="F20" s="74">
        <f>'Rate Buildups'!$M$17</f>
        <v>1156.3377483137256</v>
      </c>
      <c r="G20" s="75">
        <f t="shared" si="0"/>
        <v>31221.119204470589</v>
      </c>
    </row>
    <row r="21" spans="1:7" x14ac:dyDescent="0.3">
      <c r="A21" s="69"/>
      <c r="B21" s="70" t="s">
        <v>260</v>
      </c>
      <c r="C21" s="71" t="s">
        <v>261</v>
      </c>
      <c r="D21" s="100">
        <v>11</v>
      </c>
      <c r="E21" s="73" t="s">
        <v>245</v>
      </c>
      <c r="F21" s="74">
        <f>'Rate Buildups'!$M$18</f>
        <v>1345.1488251764708</v>
      </c>
      <c r="G21" s="75">
        <f t="shared" si="0"/>
        <v>14796.637076941179</v>
      </c>
    </row>
    <row r="22" spans="1:7" x14ac:dyDescent="0.3">
      <c r="A22" s="76"/>
      <c r="B22" s="87">
        <v>6.5</v>
      </c>
      <c r="C22" s="88" t="s">
        <v>264</v>
      </c>
      <c r="D22" s="79"/>
      <c r="E22" s="80"/>
      <c r="F22" s="85"/>
      <c r="G22" s="86"/>
    </row>
    <row r="23" spans="1:7" x14ac:dyDescent="0.3">
      <c r="A23" s="69"/>
      <c r="B23" s="70" t="s">
        <v>265</v>
      </c>
      <c r="C23" s="89" t="s">
        <v>266</v>
      </c>
      <c r="D23" s="101">
        <v>18</v>
      </c>
      <c r="E23" s="73" t="s">
        <v>245</v>
      </c>
      <c r="F23" s="74">
        <f>'Rate Buildups'!$M$20</f>
        <v>717.23428308823543</v>
      </c>
      <c r="G23" s="75">
        <f t="shared" ref="G23:G28" si="1">F23*D23</f>
        <v>12910.217095588237</v>
      </c>
    </row>
    <row r="24" spans="1:7" x14ac:dyDescent="0.3">
      <c r="A24" s="69"/>
      <c r="B24" s="70" t="s">
        <v>267</v>
      </c>
      <c r="C24" s="89" t="s">
        <v>268</v>
      </c>
      <c r="D24" s="101">
        <v>5</v>
      </c>
      <c r="E24" s="73" t="s">
        <v>245</v>
      </c>
      <c r="F24" s="74">
        <f>'Rate Buildups'!$M$20</f>
        <v>717.23428308823543</v>
      </c>
      <c r="G24" s="75">
        <f t="shared" si="1"/>
        <v>3586.171415441177</v>
      </c>
    </row>
    <row r="25" spans="1:7" x14ac:dyDescent="0.3">
      <c r="A25" s="69"/>
      <c r="B25" s="70" t="s">
        <v>269</v>
      </c>
      <c r="C25" s="89" t="s">
        <v>270</v>
      </c>
      <c r="D25" s="101">
        <v>3</v>
      </c>
      <c r="E25" s="73" t="s">
        <v>245</v>
      </c>
      <c r="F25" s="74">
        <f>'Rate Buildups'!$M$20</f>
        <v>717.23428308823543</v>
      </c>
      <c r="G25" s="75">
        <f t="shared" si="1"/>
        <v>2151.7028492647064</v>
      </c>
    </row>
    <row r="26" spans="1:7" x14ac:dyDescent="0.3">
      <c r="A26" s="69"/>
      <c r="B26" s="70" t="s">
        <v>271</v>
      </c>
      <c r="C26" s="89" t="s">
        <v>286</v>
      </c>
      <c r="D26" s="100">
        <v>2</v>
      </c>
      <c r="E26" s="73" t="s">
        <v>245</v>
      </c>
      <c r="F26" s="74">
        <f>'Rate Buildups'!$M$20</f>
        <v>717.23428308823543</v>
      </c>
      <c r="G26" s="75">
        <f t="shared" si="1"/>
        <v>1434.4685661764709</v>
      </c>
    </row>
    <row r="27" spans="1:7" x14ac:dyDescent="0.3">
      <c r="A27" s="69"/>
      <c r="B27" s="70" t="s">
        <v>273</v>
      </c>
      <c r="C27" s="89" t="s">
        <v>272</v>
      </c>
      <c r="D27" s="100">
        <v>1</v>
      </c>
      <c r="E27" s="73" t="s">
        <v>245</v>
      </c>
      <c r="F27" s="74">
        <f>'Rate Buildups'!$M$20</f>
        <v>717.23428308823543</v>
      </c>
      <c r="G27" s="75">
        <f t="shared" si="1"/>
        <v>717.23428308823543</v>
      </c>
    </row>
    <row r="28" spans="1:7" x14ac:dyDescent="0.3">
      <c r="A28" s="69"/>
      <c r="B28" s="70" t="s">
        <v>271</v>
      </c>
      <c r="C28" s="89" t="s">
        <v>274</v>
      </c>
      <c r="D28" s="100">
        <v>2</v>
      </c>
      <c r="E28" s="73" t="s">
        <v>245</v>
      </c>
      <c r="F28" s="74">
        <f>'Rate Buildups'!$M$21</f>
        <v>6734.982305882354</v>
      </c>
      <c r="G28" s="75">
        <f t="shared" si="1"/>
        <v>13469.964611764708</v>
      </c>
    </row>
    <row r="29" spans="1:7" x14ac:dyDescent="0.3">
      <c r="A29" s="76"/>
      <c r="B29" s="87">
        <v>6.6</v>
      </c>
      <c r="C29" s="88" t="s">
        <v>275</v>
      </c>
      <c r="D29" s="79"/>
      <c r="E29" s="80"/>
      <c r="F29" s="85"/>
      <c r="G29" s="86"/>
    </row>
    <row r="30" spans="1:7" x14ac:dyDescent="0.3">
      <c r="A30" s="69"/>
      <c r="B30" s="91" t="s">
        <v>276</v>
      </c>
      <c r="C30" s="92" t="s">
        <v>277</v>
      </c>
      <c r="D30" s="100">
        <v>1</v>
      </c>
      <c r="E30" s="73" t="s">
        <v>245</v>
      </c>
      <c r="F30" s="74">
        <f>'Rate Buildups'!$M$33</f>
        <v>6830.9999999999991</v>
      </c>
      <c r="G30" s="75">
        <f>+F30*D30</f>
        <v>6830.9999999999991</v>
      </c>
    </row>
    <row r="31" spans="1:7" x14ac:dyDescent="0.3">
      <c r="A31" s="69"/>
      <c r="B31" s="91" t="s">
        <v>279</v>
      </c>
      <c r="C31" s="92" t="s">
        <v>280</v>
      </c>
      <c r="D31" s="100">
        <v>1</v>
      </c>
      <c r="E31" s="73" t="s">
        <v>278</v>
      </c>
      <c r="F31" s="74">
        <f>'Rate Buildups'!$M$34</f>
        <v>4973.75</v>
      </c>
      <c r="G31" s="75">
        <f>+F31*D31</f>
        <v>4973.75</v>
      </c>
    </row>
    <row r="32" spans="1:7" ht="14.25" customHeight="1" x14ac:dyDescent="0.3">
      <c r="A32" s="93"/>
      <c r="B32" s="94" t="s">
        <v>281</v>
      </c>
      <c r="C32" s="95" t="s">
        <v>131</v>
      </c>
      <c r="D32" s="102">
        <v>1</v>
      </c>
      <c r="E32" s="97" t="s">
        <v>278</v>
      </c>
      <c r="F32" s="98">
        <f>'Rate Buildups'!$M$35</f>
        <v>8952.75</v>
      </c>
      <c r="G32" s="99">
        <f>+F32*D32</f>
        <v>8952.75</v>
      </c>
    </row>
    <row r="34" spans="1:2" s="41" customFormat="1" x14ac:dyDescent="0.3">
      <c r="A34" s="40"/>
      <c r="B34" s="40"/>
    </row>
    <row r="35" spans="1:2" s="41" customFormat="1" x14ac:dyDescent="0.3">
      <c r="A35" s="40"/>
      <c r="B35" s="40"/>
    </row>
    <row r="36" spans="1:2" s="41" customFormat="1" x14ac:dyDescent="0.3">
      <c r="A36" s="40"/>
      <c r="B36" s="40"/>
    </row>
    <row r="37" spans="1:2" s="41" customFormat="1" x14ac:dyDescent="0.3">
      <c r="A37" s="40"/>
      <c r="B37" s="40"/>
    </row>
    <row r="38" spans="1:2" s="41" customFormat="1" x14ac:dyDescent="0.3">
      <c r="A38" s="40"/>
      <c r="B38" s="40"/>
    </row>
    <row r="39" spans="1:2" s="41" customFormat="1" x14ac:dyDescent="0.3">
      <c r="A39" s="40"/>
      <c r="B39" s="40"/>
    </row>
  </sheetData>
  <mergeCells count="4">
    <mergeCell ref="A1:G1"/>
    <mergeCell ref="A2:G2"/>
    <mergeCell ref="B3:C3"/>
    <mergeCell ref="D3:E3"/>
  </mergeCells>
  <pageMargins left="0.70833333333333304" right="0.31527777777777799" top="0.35416666666666702" bottom="0.35416666666666702" header="0.511811023622047" footer="0.511811023622047"/>
  <pageSetup paperSize="8" fitToHeight="0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J46"/>
  <sheetViews>
    <sheetView zoomScaleNormal="100" workbookViewId="0">
      <selection activeCell="G43" sqref="G43"/>
    </sheetView>
  </sheetViews>
  <sheetFormatPr defaultColWidth="8.6640625" defaultRowHeight="14.4" x14ac:dyDescent="0.3"/>
  <cols>
    <col min="1" max="1" width="14.33203125" customWidth="1"/>
  </cols>
  <sheetData>
    <row r="1" spans="1:36" x14ac:dyDescent="0.3">
      <c r="A1" t="s">
        <v>287</v>
      </c>
      <c r="AJ1" t="s">
        <v>227</v>
      </c>
    </row>
    <row r="2" spans="1:36" x14ac:dyDescent="0.3">
      <c r="A2" t="s">
        <v>288</v>
      </c>
    </row>
    <row r="3" spans="1:36" x14ac:dyDescent="0.3">
      <c r="A3">
        <v>900</v>
      </c>
      <c r="B3">
        <v>13.554</v>
      </c>
      <c r="C3">
        <v>13.554</v>
      </c>
      <c r="D3">
        <v>40.08</v>
      </c>
      <c r="E3">
        <v>40.08</v>
      </c>
      <c r="F3">
        <v>5.9370000000000003</v>
      </c>
      <c r="G3">
        <v>4.6900000000000004</v>
      </c>
      <c r="AJ3">
        <f t="shared" ref="AJ3:AJ10" si="0">SUM(B3:AI3)</f>
        <v>117.895</v>
      </c>
    </row>
    <row r="4" spans="1:36" x14ac:dyDescent="0.3">
      <c r="A4">
        <f t="shared" ref="A4:A10" si="1">A3-75</f>
        <v>825</v>
      </c>
      <c r="B4">
        <v>37.573999999999998</v>
      </c>
      <c r="AJ4">
        <f t="shared" si="0"/>
        <v>37.573999999999998</v>
      </c>
    </row>
    <row r="5" spans="1:36" x14ac:dyDescent="0.3">
      <c r="A5">
        <f t="shared" si="1"/>
        <v>750</v>
      </c>
      <c r="B5">
        <v>9.1829999999999998</v>
      </c>
      <c r="C5">
        <v>10.71</v>
      </c>
      <c r="AJ5">
        <f t="shared" si="0"/>
        <v>19.893000000000001</v>
      </c>
    </row>
    <row r="6" spans="1:36" x14ac:dyDescent="0.3">
      <c r="A6">
        <f t="shared" si="1"/>
        <v>675</v>
      </c>
      <c r="B6">
        <v>34.387999999999998</v>
      </c>
      <c r="AJ6">
        <f t="shared" si="0"/>
        <v>34.387999999999998</v>
      </c>
    </row>
    <row r="7" spans="1:36" x14ac:dyDescent="0.3">
      <c r="A7">
        <f t="shared" si="1"/>
        <v>600</v>
      </c>
      <c r="B7">
        <v>65.483999999999995</v>
      </c>
      <c r="C7">
        <v>16.376999999999999</v>
      </c>
      <c r="D7">
        <v>29.983000000000001</v>
      </c>
      <c r="E7">
        <v>27.611999999999998</v>
      </c>
      <c r="F7">
        <v>50.76</v>
      </c>
      <c r="G7">
        <v>24.759</v>
      </c>
      <c r="H7">
        <v>19.669</v>
      </c>
      <c r="I7">
        <v>20.382999999999999</v>
      </c>
      <c r="J7">
        <v>15.699</v>
      </c>
      <c r="K7">
        <v>13.27</v>
      </c>
      <c r="L7">
        <v>24.975000000000001</v>
      </c>
      <c r="AJ7">
        <f t="shared" si="0"/>
        <v>308.971</v>
      </c>
    </row>
    <row r="8" spans="1:36" x14ac:dyDescent="0.3">
      <c r="A8">
        <f t="shared" si="1"/>
        <v>525</v>
      </c>
      <c r="B8">
        <v>50.328000000000003</v>
      </c>
      <c r="C8">
        <v>47.872999999999998</v>
      </c>
      <c r="D8">
        <v>8.4659999999999993</v>
      </c>
      <c r="E8">
        <v>4.806</v>
      </c>
      <c r="F8">
        <v>41.83</v>
      </c>
      <c r="G8">
        <v>9.9749999999999996</v>
      </c>
      <c r="H8">
        <v>14.842000000000001</v>
      </c>
      <c r="I8">
        <v>45.832000000000001</v>
      </c>
      <c r="J8">
        <v>8.0109999999999992</v>
      </c>
      <c r="K8">
        <v>38.948999999999998</v>
      </c>
      <c r="L8">
        <v>40.508000000000003</v>
      </c>
      <c r="AJ8">
        <f t="shared" si="0"/>
        <v>311.41999999999996</v>
      </c>
    </row>
    <row r="9" spans="1:36" x14ac:dyDescent="0.3">
      <c r="A9">
        <f t="shared" si="1"/>
        <v>450</v>
      </c>
      <c r="B9">
        <v>36.277000000000001</v>
      </c>
      <c r="C9">
        <v>13.487</v>
      </c>
      <c r="D9">
        <v>41.976999999999997</v>
      </c>
      <c r="E9">
        <v>43.162999999999997</v>
      </c>
      <c r="F9">
        <v>28.614999999999998</v>
      </c>
      <c r="AJ9">
        <f t="shared" si="0"/>
        <v>163.51900000000001</v>
      </c>
    </row>
    <row r="10" spans="1:36" x14ac:dyDescent="0.3">
      <c r="A10">
        <f t="shared" si="1"/>
        <v>375</v>
      </c>
      <c r="B10">
        <v>13.692</v>
      </c>
      <c r="C10">
        <v>11.138999999999999</v>
      </c>
      <c r="D10">
        <v>11.359</v>
      </c>
      <c r="E10">
        <v>10.007</v>
      </c>
      <c r="F10">
        <v>34.558</v>
      </c>
      <c r="G10">
        <v>9.3330000000000002</v>
      </c>
      <c r="H10">
        <v>28.373999999999999</v>
      </c>
      <c r="I10">
        <v>14.340999999999999</v>
      </c>
      <c r="J10">
        <v>12.225</v>
      </c>
      <c r="K10">
        <v>9.6869999999999994</v>
      </c>
      <c r="L10">
        <v>8.0109999999999992</v>
      </c>
      <c r="M10">
        <v>28.181999999999999</v>
      </c>
      <c r="N10">
        <v>22.651</v>
      </c>
      <c r="O10">
        <v>22.516999999999999</v>
      </c>
      <c r="P10">
        <v>9.5990000000000002</v>
      </c>
      <c r="Q10">
        <v>9.6029999999999998</v>
      </c>
      <c r="R10">
        <v>31.123999999999999</v>
      </c>
      <c r="S10">
        <v>12.83</v>
      </c>
      <c r="T10">
        <v>10.631</v>
      </c>
      <c r="U10">
        <v>9.7910000000000004</v>
      </c>
      <c r="V10">
        <v>9.0389999999999997</v>
      </c>
      <c r="W10">
        <v>9.9350000000000005</v>
      </c>
      <c r="X10">
        <v>20.635000000000002</v>
      </c>
      <c r="Y10">
        <v>28.166</v>
      </c>
      <c r="Z10">
        <v>18.984999999999999</v>
      </c>
      <c r="AA10">
        <v>12.132999999999999</v>
      </c>
      <c r="AB10">
        <v>40.671999999999997</v>
      </c>
      <c r="AC10">
        <v>40.82</v>
      </c>
      <c r="AD10">
        <v>11.606</v>
      </c>
      <c r="AE10">
        <v>38.363</v>
      </c>
      <c r="AF10">
        <v>8.0310000000000006</v>
      </c>
      <c r="AG10">
        <v>13.714</v>
      </c>
      <c r="AH10">
        <v>12.742000000000001</v>
      </c>
      <c r="AJ10">
        <f t="shared" si="0"/>
        <v>584.49499999999989</v>
      </c>
    </row>
    <row r="12" spans="1:36" x14ac:dyDescent="0.3">
      <c r="A12" t="s">
        <v>289</v>
      </c>
    </row>
    <row r="13" spans="1:36" x14ac:dyDescent="0.3">
      <c r="A13">
        <v>300</v>
      </c>
      <c r="B13">
        <v>13.042999999999999</v>
      </c>
      <c r="C13">
        <v>34.027999999999999</v>
      </c>
      <c r="D13">
        <v>22.356999999999999</v>
      </c>
      <c r="E13">
        <v>56.006999999999998</v>
      </c>
      <c r="F13">
        <v>35.213999999999999</v>
      </c>
      <c r="G13">
        <v>25</v>
      </c>
      <c r="H13">
        <v>25.01</v>
      </c>
      <c r="I13">
        <v>11.938000000000001</v>
      </c>
      <c r="J13">
        <v>27.773</v>
      </c>
      <c r="AJ13">
        <f>SUM(B13:AI13)</f>
        <v>250.36999999999998</v>
      </c>
    </row>
    <row r="14" spans="1:36" x14ac:dyDescent="0.3">
      <c r="A14">
        <v>225</v>
      </c>
      <c r="B14">
        <v>9.8970000000000002</v>
      </c>
      <c r="C14">
        <v>8.8239999999999998</v>
      </c>
      <c r="D14">
        <v>43.426000000000002</v>
      </c>
      <c r="E14">
        <v>4.0720000000000001</v>
      </c>
      <c r="F14">
        <v>27</v>
      </c>
      <c r="G14">
        <v>6.6589999999999998</v>
      </c>
      <c r="H14">
        <v>7.3769999999999998</v>
      </c>
      <c r="I14">
        <v>26.975999999999999</v>
      </c>
      <c r="AJ14">
        <f>SUM(B14:AI14)</f>
        <v>134.23099999999999</v>
      </c>
    </row>
    <row r="15" spans="1:36" x14ac:dyDescent="0.3">
      <c r="A15">
        <v>200</v>
      </c>
      <c r="B15">
        <v>27.146000000000001</v>
      </c>
      <c r="C15">
        <v>25.327000000000002</v>
      </c>
      <c r="D15">
        <v>35.350999999999999</v>
      </c>
      <c r="E15">
        <v>35.045000000000002</v>
      </c>
      <c r="AJ15">
        <f>SUM(B15:AI15)</f>
        <v>122.869</v>
      </c>
    </row>
    <row r="16" spans="1:36" x14ac:dyDescent="0.3">
      <c r="A16">
        <v>150</v>
      </c>
      <c r="B16">
        <v>23.143999999999998</v>
      </c>
      <c r="C16">
        <v>46.863</v>
      </c>
      <c r="D16">
        <v>31.318000000000001</v>
      </c>
      <c r="E16">
        <v>25.004999999999999</v>
      </c>
      <c r="AJ16">
        <f>SUM(B16:AI16)</f>
        <v>126.33</v>
      </c>
    </row>
    <row r="17" spans="1:36" x14ac:dyDescent="0.3">
      <c r="A17">
        <v>100</v>
      </c>
      <c r="B17">
        <v>31.155999999999999</v>
      </c>
      <c r="AJ17">
        <f>SUM(B17:AI17)</f>
        <v>31.155999999999999</v>
      </c>
    </row>
    <row r="23" spans="1:36" x14ac:dyDescent="0.3">
      <c r="A23" t="s">
        <v>290</v>
      </c>
    </row>
    <row r="24" spans="1:36" x14ac:dyDescent="0.3">
      <c r="A24" t="s">
        <v>288</v>
      </c>
    </row>
    <row r="25" spans="1:36" x14ac:dyDescent="0.3">
      <c r="A25">
        <v>900</v>
      </c>
    </row>
    <row r="26" spans="1:36" x14ac:dyDescent="0.3">
      <c r="A26">
        <f t="shared" ref="A26:A32" si="2">A25-75</f>
        <v>825</v>
      </c>
    </row>
    <row r="27" spans="1:36" x14ac:dyDescent="0.3">
      <c r="A27">
        <f t="shared" si="2"/>
        <v>750</v>
      </c>
      <c r="B27">
        <v>88.331999999999994</v>
      </c>
      <c r="C27">
        <v>50.213999999999999</v>
      </c>
      <c r="D27">
        <v>13.211</v>
      </c>
      <c r="E27">
        <v>30.077000000000002</v>
      </c>
      <c r="F27">
        <v>14.417</v>
      </c>
      <c r="G27">
        <v>14.417</v>
      </c>
      <c r="H27">
        <v>41.866999999999997</v>
      </c>
      <c r="AJ27">
        <f>SUM(B27:AI27)</f>
        <v>252.535</v>
      </c>
    </row>
    <row r="28" spans="1:36" x14ac:dyDescent="0.3">
      <c r="A28">
        <f t="shared" si="2"/>
        <v>675</v>
      </c>
    </row>
    <row r="29" spans="1:36" x14ac:dyDescent="0.3">
      <c r="A29">
        <f t="shared" si="2"/>
        <v>600</v>
      </c>
      <c r="B29">
        <v>9.7680000000000007</v>
      </c>
      <c r="C29">
        <v>9.7680000000000007</v>
      </c>
      <c r="D29">
        <v>10.35</v>
      </c>
      <c r="E29">
        <v>10.35</v>
      </c>
      <c r="F29">
        <v>8.7590000000000003</v>
      </c>
      <c r="G29">
        <v>8.7590000000000003</v>
      </c>
      <c r="H29">
        <v>16.515999999999998</v>
      </c>
      <c r="I29">
        <v>28.535</v>
      </c>
      <c r="J29">
        <v>28.117999999999999</v>
      </c>
      <c r="K29">
        <v>41.502000000000002</v>
      </c>
      <c r="L29">
        <v>7.7569999999999997</v>
      </c>
      <c r="M29">
        <v>7.7569999999999997</v>
      </c>
      <c r="N29">
        <v>8.01</v>
      </c>
      <c r="O29">
        <v>8.01</v>
      </c>
      <c r="AJ29">
        <f>SUM(B29:AI29)</f>
        <v>203.959</v>
      </c>
    </row>
    <row r="30" spans="1:36" x14ac:dyDescent="0.3">
      <c r="A30">
        <f t="shared" si="2"/>
        <v>525</v>
      </c>
      <c r="B30">
        <v>44.728999999999999</v>
      </c>
      <c r="AJ30">
        <f>SUM(B30:AI30)</f>
        <v>44.728999999999999</v>
      </c>
    </row>
    <row r="31" spans="1:36" x14ac:dyDescent="0.3">
      <c r="A31">
        <f t="shared" si="2"/>
        <v>450</v>
      </c>
      <c r="B31">
        <v>8.0640000000000001</v>
      </c>
      <c r="C31">
        <v>37.595999999999997</v>
      </c>
      <c r="D31">
        <v>10.603999999999999</v>
      </c>
      <c r="E31">
        <v>8.1419999999999995</v>
      </c>
      <c r="F31">
        <v>41.323</v>
      </c>
      <c r="G31">
        <v>12.202999999999999</v>
      </c>
      <c r="H31">
        <v>12.202999999999999</v>
      </c>
      <c r="I31">
        <v>12.202999999999999</v>
      </c>
      <c r="J31">
        <v>7.06</v>
      </c>
      <c r="K31">
        <v>7.06</v>
      </c>
      <c r="L31">
        <v>7.06</v>
      </c>
      <c r="M31">
        <v>4.6980000000000004</v>
      </c>
      <c r="N31">
        <v>4.6980000000000004</v>
      </c>
      <c r="O31">
        <v>4.6980000000000004</v>
      </c>
      <c r="AJ31">
        <f>SUM(B31:AI31)</f>
        <v>177.61200000000002</v>
      </c>
    </row>
    <row r="32" spans="1:36" x14ac:dyDescent="0.3">
      <c r="A32">
        <f t="shared" si="2"/>
        <v>375</v>
      </c>
      <c r="B32">
        <v>62.41</v>
      </c>
      <c r="C32">
        <v>10.225</v>
      </c>
      <c r="D32">
        <v>7.9619999999999997</v>
      </c>
      <c r="E32">
        <v>45.097999999999999</v>
      </c>
      <c r="F32">
        <v>19.937000000000001</v>
      </c>
      <c r="G32">
        <v>8.1370000000000005</v>
      </c>
      <c r="H32">
        <v>12.88</v>
      </c>
      <c r="I32">
        <v>8.032</v>
      </c>
      <c r="J32">
        <v>21.536000000000001</v>
      </c>
      <c r="K32">
        <v>44.600999999999999</v>
      </c>
      <c r="L32">
        <v>28.324000000000002</v>
      </c>
      <c r="M32">
        <v>8.1150000000000002</v>
      </c>
      <c r="N32">
        <v>9.6029999999999998</v>
      </c>
      <c r="O32">
        <v>56.758000000000003</v>
      </c>
      <c r="P32">
        <v>50.26</v>
      </c>
      <c r="Q32">
        <v>7.6580000000000004</v>
      </c>
      <c r="R32">
        <v>15.920999999999999</v>
      </c>
      <c r="S32">
        <v>39.47</v>
      </c>
      <c r="T32">
        <v>8.8710000000000004</v>
      </c>
      <c r="AJ32">
        <f>SUM(B32:AI32)</f>
        <v>465.798</v>
      </c>
    </row>
    <row r="34" spans="1:36" x14ac:dyDescent="0.3">
      <c r="A34" t="s">
        <v>289</v>
      </c>
    </row>
    <row r="35" spans="1:36" x14ac:dyDescent="0.3">
      <c r="A35">
        <v>300</v>
      </c>
      <c r="B35">
        <v>16.448</v>
      </c>
      <c r="C35">
        <v>3.9089999999999998</v>
      </c>
      <c r="D35">
        <v>16.603999999999999</v>
      </c>
      <c r="E35">
        <v>18.198</v>
      </c>
      <c r="AJ35">
        <f>SUM(B35:AI35)</f>
        <v>55.158999999999999</v>
      </c>
    </row>
    <row r="36" spans="1:36" x14ac:dyDescent="0.3">
      <c r="A36">
        <v>225</v>
      </c>
      <c r="B36">
        <v>6.5129999999999999</v>
      </c>
      <c r="C36">
        <v>39.912999999999997</v>
      </c>
      <c r="D36">
        <v>22.452000000000002</v>
      </c>
      <c r="E36">
        <v>18.341999999999999</v>
      </c>
      <c r="F36">
        <v>20.518000000000001</v>
      </c>
      <c r="G36">
        <v>26.606999999999999</v>
      </c>
      <c r="H36">
        <v>20.88</v>
      </c>
      <c r="I36">
        <v>17.294</v>
      </c>
      <c r="J36">
        <v>7.056</v>
      </c>
      <c r="K36">
        <v>34.636000000000003</v>
      </c>
      <c r="L36">
        <v>9.0310000000000006</v>
      </c>
      <c r="M36">
        <v>3.226</v>
      </c>
      <c r="N36">
        <v>18.678999999999998</v>
      </c>
      <c r="O36">
        <v>21.242000000000001</v>
      </c>
      <c r="P36">
        <v>24.117000000000001</v>
      </c>
      <c r="Q36">
        <v>25.471</v>
      </c>
      <c r="R36">
        <v>9.3879999999999999</v>
      </c>
      <c r="AJ36">
        <f>SUM(B36:AI36)</f>
        <v>325.36500000000001</v>
      </c>
    </row>
    <row r="37" spans="1:36" x14ac:dyDescent="0.3">
      <c r="A37">
        <v>200</v>
      </c>
      <c r="B37">
        <v>20.306999999999999</v>
      </c>
      <c r="C37">
        <v>20.177</v>
      </c>
      <c r="AJ37">
        <f>SUM(B37:AI37)</f>
        <v>40.483999999999995</v>
      </c>
    </row>
    <row r="38" spans="1:36" x14ac:dyDescent="0.3">
      <c r="A38">
        <v>150</v>
      </c>
      <c r="B38">
        <v>20.257000000000001</v>
      </c>
      <c r="C38">
        <v>25.068999999999999</v>
      </c>
      <c r="AJ38">
        <f>SUM(B38:AI38)</f>
        <v>45.326000000000001</v>
      </c>
    </row>
    <row r="43" spans="1:36" x14ac:dyDescent="0.3">
      <c r="A43" t="s">
        <v>291</v>
      </c>
    </row>
    <row r="44" spans="1:36" x14ac:dyDescent="0.3">
      <c r="A44">
        <v>750</v>
      </c>
      <c r="B44">
        <v>17.341999999999999</v>
      </c>
      <c r="AJ44">
        <f>SUM(B44:AI44)</f>
        <v>17.341999999999999</v>
      </c>
    </row>
    <row r="45" spans="1:36" x14ac:dyDescent="0.3">
      <c r="A45">
        <v>675</v>
      </c>
      <c r="B45">
        <v>41.930999999999997</v>
      </c>
      <c r="C45">
        <v>16.337</v>
      </c>
      <c r="AJ45">
        <f>SUM(B45:AI45)</f>
        <v>58.268000000000001</v>
      </c>
    </row>
    <row r="46" spans="1:36" x14ac:dyDescent="0.3">
      <c r="A46">
        <v>375</v>
      </c>
      <c r="B46">
        <v>23.687000000000001</v>
      </c>
      <c r="C46">
        <v>11.131</v>
      </c>
      <c r="AJ46">
        <f>SUM(B46:AI46)</f>
        <v>34.817999999999998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4</vt:i4>
      </vt:variant>
    </vt:vector>
  </HeadingPairs>
  <TitlesOfParts>
    <vt:vector size="12" baseType="lpstr">
      <vt:lpstr>READ ME</vt:lpstr>
      <vt:lpstr>Summary</vt:lpstr>
      <vt:lpstr>Rate Library</vt:lpstr>
      <vt:lpstr>Rate Buildups</vt:lpstr>
      <vt:lpstr>Material Rate Register</vt:lpstr>
      <vt:lpstr>ST 1,2 RES BOQ </vt:lpstr>
      <vt:lpstr>ST 3,4,5,6 RES BOQ  </vt:lpstr>
      <vt:lpstr>stormwater pipe calcs</vt:lpstr>
      <vt:lpstr>'ST 1,2 RES BOQ '!Print_Area</vt:lpstr>
      <vt:lpstr>'ST 3,4,5,6 RES BOQ  '!Print_Area</vt:lpstr>
      <vt:lpstr>'ST 1,2 RES BOQ '!Print_Titles</vt:lpstr>
      <vt:lpstr>'ST 3,4,5,6 RES BOQ  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TCS</dc:creator>
  <dc:description/>
  <cp:lastModifiedBy>Mitch - TPS</cp:lastModifiedBy>
  <cp:revision>0</cp:revision>
  <dcterms:created xsi:type="dcterms:W3CDTF">2013-06-26T22:07:02Z</dcterms:created>
  <dcterms:modified xsi:type="dcterms:W3CDTF">2026-07-22T19:19:38Z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0x0101009CD3EBEF7E0ECE45AC780B83940604DE</vt:lpwstr>
  </property>
  <property fmtid="{D5CDD505-2E9C-101B-9397-08002B2CF9AE}" pid="3" name="MediaServiceImageTags">
    <vt:lpwstr/>
  </property>
</Properties>
</file>